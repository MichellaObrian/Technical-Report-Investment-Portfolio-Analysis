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a/Downloads/"/>
    </mc:Choice>
  </mc:AlternateContent>
  <xr:revisionPtr revIDLastSave="0" documentId="13_ncr:1_{AE776F77-C79C-D140-A29E-1BEA6D9F0068}" xr6:coauthVersionLast="47" xr6:coauthVersionMax="47" xr10:uidLastSave="{00000000-0000-0000-0000-000000000000}"/>
  <bookViews>
    <workbookView xWindow="4640" yWindow="740" windowWidth="24520" windowHeight="17240" xr2:uid="{751CB93A-514C-B648-8092-424872E22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 a="1"/>
  <c r="S4" i="1" a="1"/>
  <c r="R4" i="1" a="1"/>
  <c r="Q4" i="1" a="1"/>
  <c r="P4" i="1" a="1"/>
  <c r="O4" i="1" a="1"/>
  <c r="N4" i="1" a="1"/>
  <c r="M4" i="1" a="1"/>
  <c r="L4" i="1" a="1"/>
  <c r="K4" i="1" a="1"/>
  <c r="J4" i="1" a="1"/>
  <c r="I4" i="1" a="1"/>
  <c r="H4" i="1" a="1"/>
  <c r="G4" i="1" a="1"/>
  <c r="F4" i="1" a="1"/>
  <c r="E4" i="1" a="1"/>
  <c r="D4" i="1" a="1"/>
  <c r="C4" i="1" a="1"/>
  <c r="T4" i="1" l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06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</futureMetadata>
  <cellMetadata count="1">
    <bk>
      <rc t="1" v="0"/>
    </bk>
  </cellMetadata>
  <valueMetadata count="206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</valueMetadata>
</metadata>
</file>

<file path=xl/sharedStrings.xml><?xml version="1.0" encoding="utf-8"?>
<sst xmlns="http://schemas.openxmlformats.org/spreadsheetml/2006/main" count="150" uniqueCount="41">
  <si>
    <t>Years</t>
  </si>
  <si>
    <t>Months</t>
  </si>
  <si>
    <t>Stocks</t>
  </si>
  <si>
    <t>Sept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</si>
  <si>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</si>
  <si>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</si>
  <si>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</si>
  <si>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</si>
  <si>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</si>
  <si>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</si>
  <si>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</si>
  <si>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</si>
  <si>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</si>
  <si>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July</t>
  </si>
  <si>
    <t>August</t>
  </si>
  <si>
    <t>IBM</t>
  </si>
  <si>
    <t>Tech/AI/Software</t>
  </si>
  <si>
    <t>BAE Systems</t>
  </si>
  <si>
    <t>Healthcare / Biotech</t>
  </si>
  <si>
    <t>Energy/Environment</t>
  </si>
  <si>
    <t>Consumer / Entertainment</t>
  </si>
  <si>
    <t>Automotive</t>
  </si>
  <si>
    <t>Military / Defense</t>
  </si>
  <si>
    <t>Finance</t>
  </si>
  <si>
    <t>Atari</t>
  </si>
  <si>
    <t>Manufacturing / Emerging Market</t>
  </si>
  <si>
    <t>APPL</t>
  </si>
  <si>
    <t>DSGX</t>
  </si>
  <si>
    <t>GSK</t>
  </si>
  <si>
    <t>INCY</t>
  </si>
  <si>
    <t>XOM</t>
  </si>
  <si>
    <t>NEE</t>
  </si>
  <si>
    <t>PYR</t>
  </si>
  <si>
    <t>PMPC</t>
  </si>
  <si>
    <t>ARCT</t>
  </si>
  <si>
    <t>NFLX</t>
  </si>
  <si>
    <t>TM</t>
  </si>
  <si>
    <t>TXT</t>
  </si>
  <si>
    <t>FINMY</t>
  </si>
  <si>
    <t>V</t>
  </si>
  <si>
    <t>IBN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</si>
</sst>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9">
  <a r="1" c="121">
    <v t="i">0</v>
    <v t="i">31</v>
    <v t="i">61</v>
    <v t="i">92</v>
    <v t="i">122</v>
    <v t="i">153</v>
    <v t="i">184</v>
    <v t="i">213</v>
    <v t="i">244</v>
    <v t="i">274</v>
    <v t="i">305</v>
    <v t="i">335</v>
    <v t="i">366</v>
    <v t="i">397</v>
    <v t="i">427</v>
    <v t="i">458</v>
    <v t="i">488</v>
    <v t="i">519</v>
    <v t="i">550</v>
    <v t="i">578</v>
    <v t="i">609</v>
    <v t="i">639</v>
    <v t="i">670</v>
    <v t="i">700</v>
    <v t="i">731</v>
    <v t="i">762</v>
    <v t="i">792</v>
    <v t="i">823</v>
    <v t="i">853</v>
    <v t="i">884</v>
    <v t="i">915</v>
    <v t="i">943</v>
    <v t="i">974</v>
    <v t="i">1004</v>
    <v t="i">1035</v>
    <v t="i">1065</v>
    <v t="i">1096</v>
    <v t="i">1127</v>
    <v t="i">1157</v>
    <v t="i">1188</v>
    <v t="i">1218</v>
    <v t="i">1249</v>
    <v t="i">1280</v>
    <v t="i">1308</v>
    <v t="i">1339</v>
    <v t="i">1369</v>
    <v t="i">1400</v>
    <v t="i">1430</v>
    <v t="i">1461</v>
    <v t="i">1492</v>
    <v t="i">1522</v>
    <v t="i">1553</v>
    <v t="i">1583</v>
    <v t="i">1614</v>
    <v t="i">1645</v>
    <v t="i">1674</v>
    <v t="i">1705</v>
    <v t="i">1735</v>
    <v t="i">1766</v>
    <v t="i">1796</v>
    <v t="i">1827</v>
    <v t="i">1858</v>
    <v t="i">1888</v>
    <v t="i">1919</v>
    <v t="i">1949</v>
    <v t="i">1980</v>
    <v t="i">2011</v>
    <v t="i">2039</v>
    <v t="i">2070</v>
    <v t="i">2100</v>
    <v t="i">2131</v>
    <v t="i">2161</v>
    <v t="i">2192</v>
    <v t="i">2223</v>
    <v t="i">2253</v>
    <v t="i">2284</v>
    <v t="i">2314</v>
    <v t="i">2345</v>
    <v t="i">2376</v>
    <v t="i">2404</v>
    <v t="i">2435</v>
    <v t="i">2465</v>
    <v t="i">2496</v>
    <v t="i">2526</v>
    <v t="i">2557</v>
    <v t="i">2588</v>
    <v t="i">2618</v>
    <v t="i">2649</v>
    <v t="i">2679</v>
    <v t="i">2710</v>
    <v t="i">2741</v>
    <v t="i">2769</v>
    <v t="i">2800</v>
    <v t="i">2830</v>
    <v t="i">2861</v>
    <v t="i">2891</v>
    <v t="i">2922</v>
    <v t="i">2953</v>
    <v t="i">2983</v>
    <v t="i">3014</v>
    <v t="i">3044</v>
    <v t="i">3075</v>
    <v t="i">3106</v>
    <v t="i">3135</v>
    <v t="i">3166</v>
    <v t="i">3196</v>
    <v t="i">3227</v>
    <v t="i">3257</v>
    <v t="i">3288</v>
    <v t="i">3319</v>
    <v t="i">3349</v>
    <v t="i">3380</v>
    <v t="i">3410</v>
    <v t="i">3441</v>
    <v t="i">3472</v>
    <v t="i">3500</v>
    <v t="i">3531</v>
    <v t="i">3561</v>
    <v t="i">3592</v>
    <v t="i">3622</v>
    <v t="i">3653</v>
  </a>
  <a r="1" c="121">
    <v>24.602499999999999</v>
    <v>24.387499999999999</v>
    <v>25.664999999999999</v>
    <v>24.965</v>
    <v>25.9725</v>
    <v>27.927499999999998</v>
    <v>28.204999999999998</v>
    <v>29.585000000000001</v>
    <v>29.395</v>
    <v>30.03</v>
    <v>32.6</v>
    <v>32.072499999999998</v>
    <v>30.234999999999999</v>
    <v>30.58</v>
    <v>32</v>
    <v>28.557500000000001</v>
    <v>29.864999999999998</v>
    <v>30.93</v>
    <v>32.75</v>
    <v>32.092500000000001</v>
    <v>33.39</v>
    <v>35.36</v>
    <v>35.032499999999999</v>
    <v>36.522500000000001</v>
    <v>37.627499999999998</v>
    <v>36.637500000000003</v>
    <v>38.767499999999998</v>
    <v>39.51</v>
    <v>39.047499999999999</v>
    <v>39.604999999999997</v>
    <v>38.037500000000001</v>
    <v>40.832500000000003</v>
    <v>40.977499999999999</v>
    <v>41.452500000000001</v>
    <v>41.7575</v>
    <v>41.884999999999998</v>
    <v>42.524999999999999</v>
    <v>41.9</v>
    <v>43.125</v>
    <v>45.427500000000002</v>
    <v>43.454999999999998</v>
    <v>44.744999999999997</v>
    <v>46.93</v>
    <v>48.33</v>
    <v>48.61</v>
    <v>49.552500000000002</v>
    <v>51.215000000000003</v>
    <v>51.792499999999997</v>
    <v>54.77</v>
    <v>58.247500000000002</v>
    <v>59.585000000000001</v>
    <v>58.454999999999998</v>
    <v>60.54</v>
    <v>67.05</v>
    <v>63.19</v>
    <v>60.155000000000001</v>
    <v>57.78</v>
    <v>63.89</v>
    <v>60.042499999999997</v>
    <v>70.174999999999997</v>
    <v>69.792500000000004</v>
    <v>69.39</v>
    <v>73.209999999999994</v>
    <v>73.59</v>
    <v>77.150000000000006</v>
    <v>80.87</v>
    <v>73.48</v>
    <v>75.61</v>
    <v>77.510000000000005</v>
    <v>73.22</v>
    <v>73.28</v>
    <v>77.900000000000006</v>
    <v>83.99</v>
    <v>78.52</v>
    <v>85.33</v>
    <v>86.78</v>
    <v>93.36</v>
    <v>78.12</v>
    <v>78.27</v>
    <v>84.71</v>
    <v>71.02</v>
    <v>75.69</v>
    <v>77.459999999999994</v>
    <v>84.49</v>
    <v>85.06</v>
    <v>78.41</v>
    <v>77.5</v>
    <v>84.7</v>
    <v>83.6</v>
    <v>74.63</v>
    <v>71.03</v>
    <v>77.08</v>
    <v>76.63</v>
    <v>73.459999999999994</v>
    <v>74.2</v>
    <v>73.3</v>
    <v>66.8</v>
    <v>57.29</v>
    <v>58.3</v>
    <v>58.51</v>
    <v>60.74</v>
    <v>58.63</v>
    <v>55.19</v>
    <v>63.91</v>
    <v>66.97</v>
    <v>80.02</v>
    <v>70.81</v>
    <v>76.39</v>
    <v>80.510000000000005</v>
    <v>84.53</v>
    <v>79.25</v>
    <v>78.67</v>
    <v>71.69</v>
    <v>71.56</v>
    <v>70.17</v>
    <v>70.89</v>
    <v>66.88</v>
    <v>70.64</v>
    <v>69.42</v>
    <v>71.06</v>
    <v>72.05</v>
  </a>
  <a r="1" c="121">
    <v>0.33500000000000002</v>
    <v>0.26</v>
    <v>0.245</v>
    <v>0.22</v>
    <v>0.22</v>
    <v>0.19</v>
    <v>0.185</v>
    <v>0.18</v>
    <v>0.28000000000000003</v>
    <v>0.24</v>
    <v>0.24</v>
    <v>0.255</v>
    <v>0.19500000000000001</v>
    <v>0.2</v>
    <v>0.19</v>
    <v>0.19</v>
    <v>0.2</v>
    <v>0.24</v>
    <v>0.23</v>
    <v>0.43</v>
    <v>0.72</v>
    <v>0.71</v>
    <v>0.79</v>
    <v>0.7</v>
    <v>0.62</v>
    <v>0.48</v>
    <v>0.65</v>
    <v>0.67</v>
    <v>0.63</v>
    <v>0.73</v>
    <v>0.63</v>
    <v>0.65</v>
    <v>0.53</v>
    <v>0.59</v>
    <v>0.5</v>
    <v>0.54</v>
    <v>0.435</v>
    <v>0.44500000000000001</v>
    <v>0.54</v>
    <v>0.67</v>
    <v>0.52</v>
    <v>0.67</v>
    <v>0.65</v>
    <v>0.62</v>
    <v>0.65</v>
    <v>0.54</v>
    <v>0.55000000000000004</v>
    <v>0.6</v>
    <v>0.5</v>
    <v>0.495</v>
    <v>0.54</v>
    <v>0.5</v>
    <v>0.46</v>
    <v>0.37</v>
    <v>0.38</v>
    <v>0.41</v>
    <v>0.68</v>
    <v>1.43</v>
    <v>2.29</v>
    <v>5.48</v>
    <v>5.07</v>
    <v>4.04</v>
    <v>3.58</v>
    <v>3.71</v>
    <v>3.61</v>
    <v>4.24</v>
    <v>9.34</v>
    <v>8.4600000000000009</v>
    <v>6.28</v>
    <v>6.59</v>
    <v>6.48</v>
    <v>4.5999999999999996</v>
    <v>5.27</v>
    <v>5.12</v>
    <v>4.53</v>
    <v>4.17</v>
    <v>3.33</v>
    <v>3.48</v>
    <v>2.62</v>
    <v>3.13</v>
    <v>2.91</v>
    <v>3.35</v>
    <v>2.4900000000000002</v>
    <v>1.92</v>
    <v>1.86</v>
    <v>1.71</v>
    <v>1.1000000000000001</v>
    <v>0.97</v>
    <v>1.03</v>
    <v>1.47</v>
    <v>1.07</v>
    <v>1.08</v>
    <v>1</v>
    <v>1.03</v>
    <v>0.92</v>
    <v>0.98</v>
    <v>0.89</v>
    <v>0.6</v>
    <v>0.435</v>
    <v>0.48499999999999999</v>
    <v>0.43</v>
    <v>0.51</v>
    <v>0.47</v>
    <v>0.43</v>
    <v>0.56000000000000005</v>
    <v>0.56999999999999995</v>
    <v>0.69</v>
    <v>0.85</v>
    <v>0.82</v>
    <v>0.93</v>
    <v>0.78</v>
    <v>0.64</v>
    <v>0.56999999999999995</v>
    <v>0.56000000000000005</v>
    <v>0.57999999999999996</v>
    <v>0.5</v>
    <v>0.44</v>
    <v>0.55000000000000004</v>
    <v>0.45</v>
    <v>0.39500000000000002</v>
    <v>0.30499999999999999</v>
  </a>
  <a r="1" c="121">
    <v>28.19</v>
    <v>27.574999999999999</v>
    <v>29.875</v>
    <v>29.574999999999999</v>
    <v>26.315000000000001</v>
    <v>24.335000000000001</v>
    <v>24.172499999999999</v>
    <v>27.247499999999999</v>
    <v>23.434999999999999</v>
    <v>24.965</v>
    <v>23.9</v>
    <v>26.052499999999998</v>
    <v>26.524999999999999</v>
    <v>28.262499999999999</v>
    <v>28.385000000000002</v>
    <v>27.63</v>
    <v>28.954999999999998</v>
    <v>30.337499999999999</v>
    <v>34.247500000000002</v>
    <v>35.914999999999999</v>
    <v>35.912500000000001</v>
    <v>38.19</v>
    <v>36.005000000000003</v>
    <v>37.182499999999997</v>
    <v>41</v>
    <v>38.53</v>
    <v>42.26</v>
    <v>42.962499999999999</v>
    <v>42.307499999999997</v>
    <v>41.857500000000002</v>
    <v>44.53</v>
    <v>41.945</v>
    <v>41.314999999999998</v>
    <v>46.717500000000001</v>
    <v>46.277500000000003</v>
    <v>47.572499999999998</v>
    <v>56.907499999999999</v>
    <v>56.435000000000002</v>
    <v>54.715000000000003</v>
    <v>44.645000000000003</v>
    <v>39.435000000000002</v>
    <v>41.61</v>
    <v>43.287500000000001</v>
    <v>47.487499999999997</v>
    <v>50.167499999999997</v>
    <v>43.767499999999998</v>
    <v>49.48</v>
    <v>53.26</v>
    <v>52.185000000000002</v>
    <v>55.9925</v>
    <v>62.19</v>
    <v>66.8125</v>
    <v>73.412499999999994</v>
    <v>77.377499999999998</v>
    <v>68.34</v>
    <v>63.572499999999998</v>
    <v>73.45</v>
    <v>79.484999999999999</v>
    <v>91.2</v>
    <v>106.26</v>
    <v>129.04</v>
    <v>115.81</v>
    <v>108.86</v>
    <v>119.05</v>
    <v>132.69</v>
    <v>131.96</v>
    <v>121.26</v>
    <v>122.15</v>
    <v>131.46</v>
    <v>124.61</v>
    <v>136.96</v>
    <v>145.86000000000001</v>
    <v>151.83000000000001</v>
    <v>141.5</v>
    <v>149.80000000000001</v>
    <v>165.3</v>
    <v>177.57</v>
    <v>174.78</v>
    <v>165.12</v>
    <v>174.61</v>
    <v>157.65</v>
    <v>148.84</v>
    <v>136.72</v>
    <v>162.51</v>
    <v>157.22</v>
    <v>138.19999999999999</v>
    <v>153.34</v>
    <v>148.03</v>
    <v>129.93</v>
    <v>144.29</v>
    <v>147.41</v>
    <v>164.9</v>
    <v>169.68</v>
    <v>177.25</v>
    <v>193.97</v>
    <v>196.45</v>
    <v>187.87</v>
    <v>171.21</v>
    <v>170.77</v>
    <v>189.95</v>
    <v>192.53</v>
    <v>184.4</v>
    <v>180.75</v>
    <v>171.48</v>
    <v>170.33</v>
    <v>192.25</v>
    <v>210.62</v>
    <v>222.08</v>
    <v>229</v>
    <v>233</v>
    <v>225.91</v>
    <v>237.33</v>
    <v>250.42</v>
    <v>236</v>
    <v>241.84</v>
    <v>222.13</v>
    <v>212.5</v>
    <v>200.85</v>
    <v>205.17</v>
    <v>207.57</v>
    <v>232.14</v>
  </a>
  <a r="1" c="121">
    <v>116.19</v>
    <v>110.33</v>
    <v>117.53</v>
    <v>114.24</v>
    <v>108.45</v>
    <v>70.56</v>
    <v>73.5</v>
    <v>72.47</v>
    <v>72.27</v>
    <v>84.41</v>
    <v>79.98</v>
    <v>90.21</v>
    <v>81.099999999999994</v>
    <v>94.29</v>
    <v>86.97</v>
    <v>102.29</v>
    <v>100.27</v>
    <v>121.21</v>
    <v>133.1</v>
    <v>133.66999999999999</v>
    <v>124.28</v>
    <v>129.33000000000001</v>
    <v>125.91</v>
    <v>133.29</v>
    <v>137.41</v>
    <v>116.74</v>
    <v>113.25</v>
    <v>98.99</v>
    <v>94.71</v>
    <v>90.29</v>
    <v>85.16</v>
    <v>83.33</v>
    <v>61.94</v>
    <v>68.27</v>
    <v>67</v>
    <v>66.540000000000006</v>
    <v>73.91</v>
    <v>69.08</v>
    <v>64.819999999999993</v>
    <v>64.25</v>
    <v>63.59</v>
    <v>80.59</v>
    <v>86.23</v>
    <v>86.01</v>
    <v>76.8</v>
    <v>78.63</v>
    <v>84.96</v>
    <v>84.92</v>
    <v>81.819999999999993</v>
    <v>74.23</v>
    <v>83.92</v>
    <v>94.16</v>
    <v>87.32</v>
    <v>73.069999999999993</v>
    <v>75.41</v>
    <v>73.23</v>
    <v>97.66</v>
    <v>101.91</v>
    <v>103.97</v>
    <v>98.76</v>
    <v>96.35</v>
    <v>89.74</v>
    <v>86.64</v>
    <v>84.54</v>
    <v>86.98</v>
    <v>89.75</v>
    <v>78.66</v>
    <v>81.27</v>
    <v>85.38</v>
    <v>83.78</v>
    <v>84.13</v>
    <v>77.349999999999994</v>
    <v>76.489999999999995</v>
    <v>68.78</v>
    <v>66.98</v>
    <v>67.72</v>
    <v>73.400000000000006</v>
    <v>74.33</v>
    <v>68.3</v>
    <v>79.42</v>
    <v>74.959999999999994</v>
    <v>75.89</v>
    <v>75.97</v>
    <v>77.680000000000007</v>
    <v>70.430000000000007</v>
    <v>66.64</v>
    <v>74.34</v>
    <v>79.67</v>
    <v>80.319999999999993</v>
    <v>85.14</v>
    <v>76.98</v>
    <v>72.27</v>
    <v>74.41</v>
    <v>61.55</v>
    <v>62.25</v>
    <v>63.72</v>
    <v>64.53</v>
    <v>57.77</v>
    <v>53.93</v>
    <v>54.34</v>
    <v>62.79</v>
    <v>58.77</v>
    <v>58.36</v>
    <v>56.97</v>
    <v>52.05</v>
    <v>57.79</v>
    <v>60.62</v>
    <v>65.069999999999993</v>
    <v>65.66</v>
    <v>66.099999999999994</v>
    <v>74.12</v>
    <v>74.59</v>
    <v>69.069999999999993</v>
    <v>74.16</v>
    <v>73.5</v>
    <v>60.55</v>
    <v>62.66</v>
    <v>65.06</v>
    <v>68.099999999999994</v>
    <v>74.89</v>
    <v>84.61</v>
  </a>
  <a r="1" c="121">
    <v>7.9272999999999998</v>
    <v>7.6181999999999999</v>
    <v>7.8364000000000003</v>
    <v>7.5545</v>
    <v>7.1181999999999999</v>
    <v>6.0454999999999997</v>
    <v>5.1544999999999996</v>
    <v>6.5091000000000001</v>
    <v>6.4090999999999996</v>
    <v>6.5364000000000004</v>
    <v>6.5273000000000003</v>
    <v>6.8909000000000002</v>
    <v>6.9726999999999997</v>
    <v>6.7908999999999997</v>
    <v>7.5364000000000004</v>
    <v>7.1273</v>
    <v>6.8090999999999999</v>
    <v>7.0454999999999997</v>
    <v>7.4545000000000003</v>
    <v>7.8182</v>
    <v>7.7908999999999997</v>
    <v>9.0182000000000002</v>
    <v>8.9700000000000006</v>
    <v>9.31</v>
    <v>9.3699999999999992</v>
    <v>8.56</v>
    <v>9.15</v>
    <v>9.5399999999999991</v>
    <v>9.73</v>
    <v>10.98</v>
    <v>9.5</v>
    <v>8.85</v>
    <v>8.51</v>
    <v>8.39</v>
    <v>8.0299999999999994</v>
    <v>8.83</v>
    <v>9.6300000000000008</v>
    <v>8.49</v>
    <v>9.49</v>
    <v>10.17</v>
    <v>10.29</v>
    <v>10.210000000000001</v>
    <v>9.86</v>
    <v>11.46</v>
    <v>11.45</v>
    <v>12</v>
    <v>12.59</v>
    <v>12.21</v>
    <v>11.23</v>
    <v>12.18</v>
    <v>13.03</v>
    <v>14.09</v>
    <v>15.09</v>
    <v>14.58</v>
    <v>13.87</v>
    <v>8.5</v>
    <v>9.76</v>
    <v>8.6999999999999993</v>
    <v>9.2899999999999991</v>
    <v>9.39</v>
    <v>10.74</v>
    <v>9.83</v>
    <v>10.55</v>
    <v>12.86</v>
    <v>14.86</v>
    <v>15.1</v>
    <v>16.61</v>
    <v>16.03</v>
    <v>16.3</v>
    <v>18.010000000000002</v>
    <v>17.100000000000001</v>
    <v>18.59</v>
    <v>19.62</v>
    <v>18.87</v>
    <v>21.15</v>
    <v>18.46</v>
    <v>19.79</v>
    <v>21.73</v>
    <v>19.47</v>
    <v>18.940000000000001</v>
    <v>19.04</v>
    <v>19.25</v>
    <v>17.739999999999998</v>
    <v>20.78</v>
    <v>21.84</v>
    <v>20.97</v>
    <v>22.04</v>
    <v>23.72</v>
    <v>21.89</v>
    <v>20.83</v>
    <v>20.68</v>
    <v>21.58</v>
    <v>22.75</v>
    <v>22.92</v>
    <v>23.08</v>
    <v>24.57</v>
    <v>23.17</v>
    <v>23.12</v>
    <v>22.19</v>
    <v>22.17</v>
    <v>23.84</v>
    <v>24.4</v>
    <v>25.61</v>
    <v>26.41</v>
    <v>27.53</v>
    <v>26.74</v>
    <v>28.81</v>
    <v>29.11</v>
    <v>29.31</v>
    <v>29.85</v>
    <v>30.41</v>
    <v>30.55</v>
    <v>29.86</v>
    <v>28.67</v>
    <v>27.88</v>
    <v>31.52</v>
    <v>33.56</v>
    <v>34.24</v>
    <v>33.64</v>
    <v>33.700000000000003</v>
    <v>31.74</v>
  </a>
  <a r="1" c="121">
    <v>0.1787</v>
    <v>0.16930000000000001</v>
    <v>0.1787</v>
    <v>0.15989999999999999</v>
    <v>0.12230000000000001</v>
    <v>0.12230000000000001</v>
    <v>0.12230000000000001</v>
    <v>0.12230000000000001</v>
    <v>0.12230000000000001</v>
    <v>0.12230000000000001</v>
    <v>0.12230000000000001</v>
    <v>0.12230000000000001</v>
    <v>0.12230000000000001</v>
    <v>0.12230000000000001</v>
    <v>0.1249</v>
    <v>0.1249</v>
    <v>0.2114</v>
    <v>0.20180000000000001</v>
    <v>0.20180000000000001</v>
    <v>0.19220000000000001</v>
    <v>0.20180000000000001</v>
    <v>0.20180000000000001</v>
    <v>0.3075</v>
    <v>0.36509999999999998</v>
    <v>0.33629999999999999</v>
    <v>0.35549999999999998</v>
    <v>0.36</v>
    <v>0.35</v>
    <v>0.35</v>
    <v>0.55000000000000004</v>
    <v>0.66800000000000004</v>
    <v>0.70499999999999996</v>
    <v>0.63800000000000001</v>
    <v>0.66400000000000003</v>
    <v>0.53600000000000003</v>
    <v>0.46150000000000002</v>
    <v>0.438</v>
    <v>0.40600000000000003</v>
    <v>0.38700000000000001</v>
    <v>0.35149999999999998</v>
    <v>0.34050000000000002</v>
    <v>0.33250000000000002</v>
    <v>0.35</v>
    <v>0.315</v>
    <v>0.41199999999999998</v>
    <v>0.32519999999999999</v>
    <v>0.38019999999999998</v>
    <v>0.40699999999999997</v>
    <v>0.34760000000000002</v>
    <v>0.33200000000000002</v>
    <v>0.317</v>
    <v>0.31580000000000003</v>
    <v>0.3296</v>
    <v>0.312</v>
    <v>0.25740000000000002</v>
    <v>0.25159999999999999</v>
    <v>0.3075</v>
    <v>0.28249999999999997</v>
    <v>0.28449999999999998</v>
    <v>0.255</v>
    <v>0.30099999999999999</v>
    <v>0.27500000000000002</v>
    <v>0.3725</v>
    <v>0.376</v>
    <v>0.35549999999999998</v>
    <v>0.373</v>
    <v>0.34449999999999997</v>
    <v>0.81599999999999995</v>
    <v>0.64</v>
    <v>0.56000000000000005</v>
    <v>0.5</v>
    <v>0.36449999999999999</v>
    <v>0.442</v>
    <v>0.3805</v>
    <v>0.317</v>
    <v>0.41</v>
    <v>0.3785</v>
    <v>0.3145</v>
    <v>0.23400000000000001</v>
    <v>0.17899999999999999</v>
    <v>0.1696</v>
    <v>0.16400000000000001</v>
    <v>0.1416</v>
    <v>0.1331</v>
    <v>0.127</v>
    <v>0.19</v>
    <v>0.19</v>
    <v>0.22</v>
    <v>0.18659999999999999</v>
    <v>0.17799999999999999</v>
    <v>0.152</v>
    <v>0.11700000000000001</v>
    <v>0.124</v>
    <v>0.13</v>
    <v>0.13819999999999999</v>
    <v>0.13639999999999999</v>
    <v>0.1326</v>
    <v>0.1288</v>
    <v>0.10580000000000001</v>
    <v>0.11020000000000001</v>
    <v>9.6100000000000005E-2</v>
    <v>0.1298</v>
    <v>0.14779999999999999</v>
    <v>0.1308</v>
    <v>0.1245</v>
    <v>0.112</v>
    <v>0.1115</v>
    <v>0.1065</v>
    <v>0.1</v>
    <v>0.1075</v>
    <v>0.11</v>
    <v>0.121</v>
    <v>0.11</v>
    <v>0.13900000000000001</v>
    <v>0.13450000000000001</v>
    <v>0.126</v>
    <v>0.11700000000000001</v>
    <v>0.155</v>
    <v>0.16700000000000001</v>
    <v>0.14199999999999999</v>
    <v>0.14849999999999999</v>
  </a>
  <a r="1" c="121">
    <v>115.03</v>
    <v>103.26</v>
    <v>108.38</v>
    <v>123.33</v>
    <v>114.38</v>
    <v>91.84</v>
    <v>93.41</v>
    <v>102.23</v>
    <v>90.03</v>
    <v>102.57</v>
    <v>91.48</v>
    <v>91.25</v>
    <v>97.45</v>
    <v>98.55</v>
    <v>124.87</v>
    <v>117</v>
    <v>123.8</v>
    <v>140.71</v>
    <v>142.13</v>
    <v>147.81</v>
    <v>152.19999999999999</v>
    <v>163.07</v>
    <v>149.41</v>
    <v>181.66</v>
    <v>174.71</v>
    <v>181.35</v>
    <v>196.43</v>
    <v>187.58</v>
    <v>191.96</v>
    <v>270.3</v>
    <v>291.38</v>
    <v>295.35000000000002</v>
    <v>312.45999999999998</v>
    <v>351.6</v>
    <v>391.43</v>
    <v>337.45</v>
    <v>367.68</v>
    <v>374.13</v>
    <v>301.77999999999997</v>
    <v>286.13</v>
    <v>267.66000000000003</v>
    <v>339.5</v>
    <v>358.1</v>
    <v>356.56</v>
    <v>370.54</v>
    <v>343.28</v>
    <v>367.32</v>
    <v>322.99</v>
    <v>293.75</v>
    <v>267.62</v>
    <v>287.41000000000003</v>
    <v>314.66000000000003</v>
    <v>323.57</v>
    <v>345.09</v>
    <v>369.03</v>
    <v>375.5</v>
    <v>419.85</v>
    <v>419.73</v>
    <v>455.04</v>
    <v>488.88</v>
    <v>529.55999999999995</v>
    <v>500.03</v>
    <v>475.74</v>
    <v>490.7</v>
    <v>540.73</v>
    <v>532.39</v>
    <v>538.85</v>
    <v>521.66</v>
    <v>513.47</v>
    <v>502.81</v>
    <v>528.21</v>
    <v>517.57000000000005</v>
    <v>569.19000000000005</v>
    <v>610.34</v>
    <v>690.31</v>
    <v>641.9</v>
    <v>602.44000000000005</v>
    <v>427.14</v>
    <v>394.52</v>
    <v>374.59</v>
    <v>190.36</v>
    <v>197.44</v>
    <v>174.87</v>
    <v>224.9</v>
    <v>223.56</v>
    <v>235.44</v>
    <v>291.88</v>
    <v>305.52999999999997</v>
    <v>294.88</v>
    <v>353.86</v>
    <v>322.13</v>
    <v>345.48</v>
    <v>329.93</v>
    <v>395.23</v>
    <v>440.49</v>
    <v>438.97</v>
    <v>433.68</v>
    <v>377.6</v>
    <v>411.69</v>
    <v>473.97</v>
    <v>486.88</v>
    <v>564.11</v>
    <v>602.91999999999996</v>
    <v>607.33000000000004</v>
    <v>550.64</v>
    <v>641.62</v>
    <v>674.88</v>
    <v>628.35</v>
    <v>701.35</v>
    <v>709.27</v>
    <v>756.03</v>
    <v>886.81</v>
    <v>891.32</v>
    <v>976.76</v>
    <v>980.56</v>
    <v>932.53</v>
    <v>1131.72</v>
    <v>1207.23</v>
    <v>1339.13</v>
    <v>1159.4000000000001</v>
    <v>1208.25</v>
  </a>
  <a r="1" c="121">
    <v>6.73</v>
    <v>6.2050000000000001</v>
    <v>6.54</v>
    <v>7.16</v>
    <v>6.91</v>
    <v>5.93</v>
    <v>5.14</v>
    <v>6.26</v>
    <v>6.2850000000000001</v>
    <v>5.875</v>
    <v>5</v>
    <v>5.7</v>
    <v>5.6340000000000003</v>
    <v>5.58</v>
    <v>6.04</v>
    <v>6.47</v>
    <v>7.01</v>
    <v>6.43</v>
    <v>6.8449999999999998</v>
    <v>7.11</v>
    <v>7.8</v>
    <v>8.82</v>
    <v>8.2200000000000006</v>
    <v>8.6199999999999992</v>
    <v>8.3699999999999992</v>
    <v>9.26</v>
    <v>8.52</v>
    <v>5.89</v>
    <v>5.97</v>
    <v>6.01</v>
    <v>5.28</v>
    <v>5.77</v>
    <v>5.82</v>
    <v>5.1050000000000004</v>
    <v>4.8899999999999997</v>
    <v>5.9074999999999998</v>
    <v>5.65</v>
    <v>5.9550000000000001</v>
    <v>5.33</v>
    <v>4.8324999999999996</v>
    <v>4.33</v>
    <v>4.75</v>
    <v>4.9675000000000002</v>
    <v>5.8</v>
    <v>5.72</v>
    <v>5.3890000000000002</v>
    <v>6.298</v>
    <v>6</v>
    <v>6.06</v>
    <v>5.8449999999999998</v>
    <v>5.8</v>
    <v>5.7880000000000003</v>
    <v>5.8</v>
    <v>6.07</v>
    <v>5.03</v>
    <v>3.16</v>
    <v>3.3460000000000001</v>
    <v>3.0350000000000001</v>
    <v>3.2719999999999998</v>
    <v>3.13</v>
    <v>3.35</v>
    <v>2.84</v>
    <v>2.31</v>
    <v>3.51</v>
    <v>3.53</v>
    <v>3.4249999999999998</v>
    <v>4</v>
    <v>4.04</v>
    <v>4.03</v>
    <v>4.32</v>
    <v>4</v>
    <v>3.8929999999999998</v>
    <v>4.01</v>
    <v>4.05</v>
    <v>3.625</v>
    <v>3.355</v>
    <v>3.5449999999999999</v>
    <v>3.5750000000000002</v>
    <v>4.41</v>
    <v>5.12</v>
    <v>5.0999999999999996</v>
    <v>5.26</v>
    <v>5.0999999999999996</v>
    <v>4.7045000000000003</v>
    <v>4.12</v>
    <v>3.55</v>
    <v>4.0199999999999996</v>
    <v>3.97</v>
    <v>4.2649999999999997</v>
    <v>5.0999999999999996</v>
    <v>5.56</v>
    <v>5.835</v>
    <v>5.9050000000000002</v>
    <v>5.31</v>
    <v>5.7495000000000003</v>
    <v>6.7</v>
    <v>7.2050000000000001</v>
    <v>7.21</v>
    <v>7.56</v>
    <v>7.6619999999999999</v>
    <v>8.1999999999999993</v>
    <v>8.7050000000000001</v>
    <v>10.62</v>
    <v>12.566000000000001</v>
    <v>11.6</v>
    <v>12.8</v>
    <v>11.59</v>
    <v>11.95</v>
    <v>12.5</v>
    <v>11.07</v>
    <v>11.94</v>
    <v>13.45</v>
    <v>13.5099</v>
    <v>15.605</v>
    <v>20.73</v>
    <v>24.37</v>
    <v>25.68</v>
    <v>30.94</v>
    <v>28.1</v>
    <v>26.96</v>
    <v>28.26</v>
  </a>
  <a r="1" c="121">
    <v>27.56</v>
    <v>27.01</v>
    <v>27.05</v>
    <v>31</v>
    <v>29.454999999999998</v>
    <v>29.59</v>
    <v>28.3</v>
    <v>29.215</v>
    <v>27.94</v>
    <v>27.984999999999999</v>
    <v>28.31</v>
    <v>28.32</v>
    <v>28.285</v>
    <v>27.34</v>
    <v>26.5</v>
    <v>30.09</v>
    <v>29.03</v>
    <v>29.49</v>
    <v>31.42</v>
    <v>32.46</v>
    <v>32.72</v>
    <v>34.770000000000003</v>
    <v>33.54</v>
    <v>32.25</v>
    <v>31.95</v>
    <v>34.5</v>
    <v>32.1</v>
    <v>30.24</v>
    <v>31.18</v>
    <v>34.21</v>
    <v>32.200000000000003</v>
    <v>33.26</v>
    <v>34.200000000000003</v>
    <v>34.520000000000003</v>
    <v>34.619999999999997</v>
    <v>34.770000000000003</v>
    <v>31.885000000000002</v>
    <v>32.909999999999997</v>
    <v>26.95</v>
    <v>25.12</v>
    <v>23.42</v>
    <v>27.38</v>
    <v>24.965</v>
    <v>25.555</v>
    <v>25.67</v>
    <v>22.830100000000002</v>
    <v>25.07</v>
    <v>26.52</v>
    <v>26.69</v>
    <v>28.19</v>
    <v>30.36</v>
    <v>29.78</v>
    <v>30.28</v>
    <v>33.255000000000003</v>
    <v>31.27</v>
    <v>25.55</v>
    <v>25.6</v>
    <v>24.58</v>
    <v>24</v>
    <v>25.74</v>
    <v>27.91</v>
    <v>25.05</v>
    <v>20.88</v>
    <v>27.25</v>
    <v>27.15</v>
    <v>25.626000000000001</v>
    <v>27.3</v>
    <v>28.3</v>
    <v>28.15</v>
    <v>29.9</v>
    <v>29.27</v>
    <v>32.32</v>
    <v>31.58</v>
    <v>30.57</v>
    <v>30.66</v>
    <v>29.43</v>
    <v>29.785</v>
    <v>31.58</v>
    <v>38.81</v>
    <v>37.67</v>
    <v>37.090000000000003</v>
    <v>38.15</v>
    <v>40.6</v>
    <v>37.669899999999998</v>
    <v>36.1</v>
    <v>35.24</v>
    <v>37.340000000000003</v>
    <v>40.04</v>
    <v>42.145000000000003</v>
    <v>42.73</v>
    <v>43.954999999999998</v>
    <v>49.37</v>
    <v>51.84</v>
    <v>46.99</v>
    <v>47.96</v>
    <v>48.66</v>
    <v>51.77</v>
    <v>49.45</v>
    <v>54.49</v>
    <v>53.57</v>
    <v>57.817999999999998</v>
    <v>60.54</v>
    <v>63.84</v>
    <v>69.349999999999994</v>
    <v>67.37</v>
    <v>71.94</v>
    <v>66.849999999999994</v>
    <v>66.75</v>
    <v>71.52</v>
    <v>66.349999999999994</v>
    <v>64.45</v>
    <v>62.44</v>
    <v>57.16</v>
    <v>60.79</v>
    <v>73.14</v>
    <v>82.23</v>
    <v>93.23</v>
    <v>102.8</v>
    <v>105.07</v>
    <v>95.614999999999995</v>
    <v>94.24</v>
  </a>
  <a r="1" c="121">
    <v>17.27</v>
    <v>17.690000000000001</v>
    <v>17.489999999999998</v>
    <v>19.97</v>
    <v>20.079999999999998</v>
    <v>17.8</v>
    <v>17.079999999999998</v>
    <v>19.510000000000002</v>
    <v>18.43</v>
    <v>20.94</v>
    <v>19.09</v>
    <v>20.2</v>
    <v>21.32</v>
    <v>21.52</v>
    <v>20.8</v>
    <v>22.15</v>
    <v>21.4</v>
    <v>21.85</v>
    <v>21.05</v>
    <v>22.9</v>
    <v>23.15</v>
    <v>25.05</v>
    <v>24.35</v>
    <v>25.1</v>
    <v>28.05</v>
    <v>27.35</v>
    <v>29.05</v>
    <v>27.75</v>
    <v>28.4</v>
    <v>28.35</v>
    <v>26.45</v>
    <v>28.55</v>
    <v>29.55</v>
    <v>29.8</v>
    <v>32.5</v>
    <v>31.9</v>
    <v>35</v>
    <v>33.9</v>
    <v>30.59</v>
    <v>29.42</v>
    <v>26.46</v>
    <v>31.06</v>
    <v>34.54</v>
    <v>36.380000000000003</v>
    <v>39.979999999999997</v>
    <v>40.1</v>
    <v>36.950000000000003</v>
    <v>36.299999999999997</v>
    <v>35.479999999999997</v>
    <v>40.31</v>
    <v>38.909999999999997</v>
    <v>42.83</v>
    <v>42.72</v>
    <v>44.81</v>
    <v>41.32</v>
    <v>34.39</v>
    <v>42.08</v>
    <v>47.59</v>
    <v>52.9</v>
    <v>56.33</v>
    <v>60.95</v>
    <v>56.98</v>
    <v>53.76</v>
    <v>59.29</v>
    <v>58.48</v>
    <v>61.06</v>
    <v>58.56</v>
    <v>60.91</v>
    <v>64.06</v>
    <v>58.44</v>
    <v>69.16</v>
    <v>72.66</v>
    <v>78.400000000000006</v>
    <v>81.260000000000005</v>
    <v>81.77</v>
    <v>80.36</v>
    <v>82.68</v>
    <v>72.77</v>
    <v>71.260000000000005</v>
    <v>73.260000000000005</v>
    <v>62.15</v>
    <v>59.35</v>
    <v>62.06</v>
    <v>69.040000000000006</v>
    <v>70.400000000000006</v>
    <v>63.53</v>
    <v>69.069999999999993</v>
    <v>69.45</v>
    <v>69.650000000000006</v>
    <v>73.02</v>
    <v>73.680000000000007</v>
    <v>80.61</v>
    <v>79.180000000000007</v>
    <v>77.33</v>
    <v>80.11</v>
    <v>77.87</v>
    <v>74.959999999999994</v>
    <v>73.38</v>
    <v>72.209999999999994</v>
    <v>81.040000000000006</v>
    <v>84.06</v>
    <v>87.59</v>
    <v>86.67</v>
    <v>91.53</v>
    <v>92.79</v>
    <v>92.33</v>
    <v>96.84</v>
    <v>101.65</v>
    <v>100.89</v>
    <v>102.96</v>
    <v>103.93</v>
    <v>116.87</v>
    <v>113.6</v>
    <v>115.83</v>
    <v>111.49</v>
    <v>100.83</v>
    <v>105.39</v>
    <v>115.94</v>
    <v>101.645</v>
    <v>105.76</v>
    <v>99.95</v>
  </a>
  <a r="1" c="121">
    <v>1334.972</v>
    <v>1260.7791999999999</v>
    <v>1399.2059999999999</v>
    <v>1349.9102</v>
    <v>1367.338</v>
    <v>1433.0658000000001</v>
    <v>1413.5825</v>
    <v>1426.2083</v>
    <v>1473.6812</v>
    <v>1459.5402999999999</v>
    <v>1620.6452999999999</v>
    <v>1704.9855</v>
    <v>1655.4924000000001</v>
    <v>1659.5327</v>
    <v>1634.7862</v>
    <v>1510.5485000000001</v>
    <v>1577.7175999999999</v>
    <v>1543.3755000000001</v>
    <v>1664.5830000000001</v>
    <v>1676.1986999999999</v>
    <v>1565.5969</v>
    <v>1720.6415</v>
    <v>1651.9572000000001</v>
    <v>1529.7397000000001</v>
    <v>1548.9308000000001</v>
    <v>1503.4780000000001</v>
    <v>1371.1597999999999</v>
    <v>1292.375</v>
    <v>1335.8077000000001</v>
    <v>1333.6865</v>
    <v>1320.3536999999999</v>
    <v>1408.0271</v>
    <v>1476.1052999999999</v>
    <v>1539.3353</v>
    <v>1545.1936000000001</v>
    <v>1597.5148999999999</v>
    <v>1576.1015</v>
    <v>1552.2641000000001</v>
    <v>1526.4065000000001</v>
    <v>1637.9174</v>
    <v>1506.2052000000001</v>
    <v>1492.0643</v>
    <v>1512.4675999999999</v>
    <v>1612.8678</v>
    <v>1589.2322999999999</v>
    <v>1542.3653999999999</v>
    <v>1592.4645</v>
    <v>1719.7324000000001</v>
    <v>1728.8230000000001</v>
    <v>1762.155</v>
    <v>1786.3965000000001</v>
    <v>1771.6496</v>
    <v>1796.9012</v>
    <v>1801.9514999999999</v>
    <v>1577.9195999999999</v>
    <v>1529.8407</v>
    <v>1677.7138</v>
    <v>1688.6224999999999</v>
    <v>1653.0682999999999</v>
    <v>1545.1936000000001</v>
    <v>1486.8119999999999</v>
    <v>1466.6107999999999</v>
    <v>1304.7987000000001</v>
    <v>1383.7855999999999</v>
    <v>1355.5038999999999</v>
    <v>1370.6548</v>
    <v>1202.7824000000001</v>
    <v>1300.9604999999999</v>
    <v>1353.0797</v>
    <v>1357.7260000000001</v>
    <v>1433.6827000000001</v>
    <v>1432.0666000000001</v>
    <v>1476.7113999999999</v>
    <v>1417.7237</v>
    <v>1523.7802999999999</v>
    <v>1540.3453</v>
    <v>1622.7664</v>
    <v>1659.5327</v>
    <v>1560.9505999999999</v>
    <v>1663.7750000000001</v>
    <v>1815.0823</v>
    <v>1750.0343</v>
    <v>1783.3664000000001</v>
    <v>1727.6</v>
    <v>1379.4</v>
    <v>1305.8</v>
    <v>1428.8</v>
    <v>1406.8</v>
    <v>1437.6</v>
    <v>1423.4</v>
    <v>1425.4</v>
    <v>1429</v>
    <v>1441</v>
    <v>1346.4</v>
    <v>1388.8</v>
    <v>1384.6</v>
    <v>1388.8</v>
    <v>1492</v>
    <v>1457.4</v>
    <v>1419.4</v>
    <v>1450.2</v>
    <v>1568</v>
    <v>1664.6</v>
    <v>1708.6</v>
    <v>1673</v>
    <v>1766.5</v>
    <v>1529.5</v>
    <v>1512</v>
    <v>1657</v>
    <v>1516.5</v>
    <v>1392.5</v>
    <v>1335</v>
    <v>1346.5</v>
    <v>1405</v>
    <v>1466.5</v>
    <v>1462</v>
    <v>1483.5</v>
    <v>1507</v>
    <v>1390</v>
    <v>1418</v>
    <v>1452.5</v>
  </a>
  <a r="1" c="121">
    <v>118.38</v>
    <v>117.28</v>
    <v>122.62</v>
    <v>124.42</v>
    <v>123.04</v>
    <v>120.03</v>
    <v>104.1</v>
    <v>106.32</v>
    <v>101.7</v>
    <v>103.41</v>
    <v>99.99</v>
    <v>111.6</v>
    <v>120.63</v>
    <v>116.06</v>
    <v>115.66</v>
    <v>118.53</v>
    <v>117.2</v>
    <v>115.75</v>
    <v>113.15</v>
    <v>108.62</v>
    <v>108.14</v>
    <v>107.54</v>
    <v>105.02</v>
    <v>112.84</v>
    <v>112.98</v>
    <v>119.17</v>
    <v>124</v>
    <v>126.34</v>
    <v>127.17</v>
    <v>137.91999999999999</v>
    <v>134.6</v>
    <v>130.37</v>
    <v>130.97999999999999</v>
    <v>127.97</v>
    <v>128.81</v>
    <v>131.84</v>
    <v>124.08</v>
    <v>124.35</v>
    <v>117.05</v>
    <v>121.48</v>
    <v>116.08</v>
    <v>123.17</v>
    <v>121.04</v>
    <v>118.02</v>
    <v>123.6</v>
    <v>117.58</v>
    <v>123.99</v>
    <v>129.05000000000001</v>
    <v>130.63</v>
    <v>134.49</v>
    <v>138.55000000000001</v>
    <v>140.21</v>
    <v>140.54</v>
    <v>138.84</v>
    <v>130.75</v>
    <v>119.95</v>
    <v>123.59</v>
    <v>126.01</v>
    <v>125.63</v>
    <v>119.34</v>
    <v>132.43</v>
    <v>132.44</v>
    <v>131.29</v>
    <v>134.46</v>
    <v>154.57</v>
    <v>140.52000000000001</v>
    <v>147.93</v>
    <v>156.06</v>
    <v>150.77000000000001</v>
    <v>165.98</v>
    <v>174.84</v>
    <v>179.84</v>
    <v>174.23</v>
    <v>177.75</v>
    <v>176.57</v>
    <v>177.85</v>
    <v>185.3</v>
    <v>198.45</v>
    <v>182.95</v>
    <v>180.25</v>
    <v>171</v>
    <v>166.37</v>
    <v>154.16999999999999</v>
    <v>162.59</v>
    <v>149.37</v>
    <v>130.29</v>
    <v>138.81</v>
    <v>147.69</v>
    <v>136.58000000000001</v>
    <v>147.11000000000001</v>
    <v>135.91999999999999</v>
    <v>141.69</v>
    <v>137.33000000000001</v>
    <v>136.13</v>
    <v>160.75</v>
    <v>168.24</v>
    <v>172.13</v>
    <v>179.75</v>
    <v>175.18</v>
    <v>189.78</v>
    <v>183.38</v>
    <v>199.7</v>
    <v>240.55</v>
    <v>251.68</v>
    <v>227.31</v>
    <v>217.51</v>
    <v>204.97</v>
    <v>193.55</v>
    <v>189.8</v>
    <v>178.57</v>
    <v>173.02</v>
    <v>170.63</v>
    <v>194.61</v>
    <v>188.93</v>
    <v>181.48</v>
    <v>176.53</v>
    <v>191.22</v>
    <v>190.57</v>
    <v>172.26</v>
    <v>178.97</v>
    <v>194.57</v>
  </a>
  <a r="1" c="121">
    <v>3.6682999999999999</v>
    <v>3.5565000000000002</v>
    <v>3.5937999999999999</v>
    <v>3.6497000000000002</v>
    <v>3.6776</v>
    <v>3.7614000000000001</v>
    <v>3.7334000000000001</v>
    <v>4.5621</v>
    <v>3.9569000000000001</v>
    <v>4.2733999999999996</v>
    <v>3.9197000000000002</v>
    <v>4.1710000000000003</v>
    <v>4.5434000000000001</v>
    <v>4.2362000000000002</v>
    <v>4.2827999999999999</v>
    <v>4.6551999999999998</v>
    <v>4.7483000000000004</v>
    <v>4.9903000000000004</v>
    <v>6.3868999999999998</v>
    <v>6.4055</v>
    <v>6.33</v>
    <v>6.2</v>
    <v>7.24</v>
    <v>9.65</v>
    <v>11.8</v>
    <v>13.54</v>
    <v>10.9</v>
    <v>8.5</v>
    <v>8.68</v>
    <v>8.77</v>
    <v>8</v>
    <v>7.96</v>
    <v>6.63</v>
    <v>6.58</v>
    <v>7.19</v>
    <v>7</v>
    <v>6.85</v>
    <v>6.39</v>
    <v>6.15</v>
    <v>6</v>
    <v>5.85</v>
    <v>6.6</v>
    <v>5.92</v>
    <v>5.97</v>
    <v>6.1</v>
    <v>5.69</v>
    <v>5.89</v>
    <v>5.6</v>
    <v>5.29</v>
    <v>5.2</v>
    <v>5.12</v>
    <v>5.25</v>
    <v>5.43</v>
    <v>5.29</v>
    <v>4.6500000000000004</v>
    <v>4.9000000000000004</v>
    <v>4.3</v>
    <v>4.5</v>
    <v>4.01</v>
    <v>4.87</v>
    <v>4.6399999999999997</v>
    <v>4.79</v>
    <v>5.55</v>
    <v>5.39</v>
    <v>5.39</v>
    <v>5.9</v>
    <v>6.3</v>
    <v>5.94</v>
    <v>5.87</v>
    <v>6.5</v>
    <v>5.88</v>
    <v>5.9</v>
    <v>5.8</v>
    <v>5.95</v>
    <v>6.05</v>
    <v>6.01</v>
    <v>6</v>
    <v>6.09</v>
    <v>6.11</v>
    <v>6.24</v>
    <v>6.32</v>
    <v>6.18</v>
    <v>5.91</v>
    <v>5.8</v>
    <v>6</v>
    <v>5.4</v>
    <v>5.45</v>
    <v>5.28</v>
    <v>5.37</v>
    <v>5</v>
    <v>5.0999999999999996</v>
    <v>5.0999999999999996</v>
    <v>5.21</v>
    <v>5.22</v>
    <v>4.9000000000000004</v>
    <v>5.5</v>
    <v>5.28</v>
    <v>4.75</v>
    <v>4.88</v>
    <v>4.9400000000000004</v>
    <v>5.8</v>
    <v>5.64</v>
    <v>5.31</v>
    <v>5.48</v>
    <v>5.46</v>
    <v>5.67</v>
    <v>5.03</v>
    <v>5.39</v>
    <v>5.39</v>
    <v>5.22</v>
    <v>5.07</v>
    <v>5.25</v>
    <v>5.48</v>
    <v>5.49</v>
    <v>5.35</v>
    <v>5.55</v>
    <v>5.78</v>
    <v>7.36</v>
    <v>8.6999999999999993</v>
    <v>7.4</v>
    <v>7.81</v>
  </a>
  <a r="1" c="121">
    <v>75.239999999999995</v>
    <v>74.349999999999994</v>
    <v>82.74</v>
    <v>81.66</v>
    <v>77.95</v>
    <v>77.849999999999994</v>
    <v>80.150000000000006</v>
    <v>83.59</v>
    <v>88.4</v>
    <v>89.02</v>
    <v>93.74</v>
    <v>88.95</v>
    <v>87.14</v>
    <v>87.28</v>
    <v>83.32</v>
    <v>87.3</v>
    <v>90.26</v>
    <v>83.89</v>
    <v>81.319999999999993</v>
    <v>82.01</v>
    <v>81.650000000000006</v>
    <v>80.5</v>
    <v>80.73</v>
    <v>80.040000000000006</v>
    <v>76.33</v>
    <v>81.98</v>
    <v>83.35</v>
    <v>83.29</v>
    <v>83.64</v>
    <v>87.3</v>
    <v>75.739999999999995</v>
    <v>74.61</v>
    <v>77.75</v>
    <v>81.239999999999995</v>
    <v>82.73</v>
    <v>81.510000000000005</v>
    <v>80.17</v>
    <v>85.02</v>
    <v>79.680000000000007</v>
    <v>79.5</v>
    <v>68.19</v>
    <v>73.28</v>
    <v>79.03</v>
    <v>80.8</v>
    <v>80.28</v>
    <v>70.77</v>
    <v>76.63</v>
    <v>74.36</v>
    <v>68.48</v>
    <v>70.61</v>
    <v>67.569999999999993</v>
    <v>68.13</v>
    <v>69.78</v>
    <v>62.12</v>
    <v>51.44</v>
    <v>37.97</v>
    <v>46.47</v>
    <v>45.47</v>
    <v>44.72</v>
    <v>42.08</v>
    <v>39.94</v>
    <v>34.33</v>
    <v>32.619999999999997</v>
    <v>38.130000000000003</v>
    <v>41.22</v>
    <v>44.84</v>
    <v>54.37</v>
    <v>55.83</v>
    <v>57.24</v>
    <v>58.37</v>
    <v>63.08</v>
    <v>57.57</v>
    <v>54.52</v>
    <v>58.82</v>
    <v>64.47</v>
    <v>59.84</v>
    <v>61.19</v>
    <v>75.959999999999994</v>
    <v>78.42</v>
    <v>82.59</v>
    <v>85.25</v>
    <v>96</v>
    <v>85.64</v>
    <v>96.93</v>
    <v>95.59</v>
    <v>87.31</v>
    <v>110.81</v>
    <v>111.34</v>
    <v>110.3</v>
    <v>116.01</v>
    <v>109.91</v>
    <v>109.66</v>
    <v>118.34</v>
    <v>102.18</v>
    <v>107.25</v>
    <v>107.24</v>
    <v>111.19</v>
    <v>117.58</v>
    <v>105.85</v>
    <v>102.74</v>
    <v>99.98</v>
    <v>102.81</v>
    <v>104.52</v>
    <v>116.24</v>
    <v>118.27</v>
    <v>117.26</v>
    <v>115.12</v>
    <v>118.59</v>
    <v>117.94</v>
    <v>117.22</v>
    <v>116.78</v>
    <v>117.96</v>
    <v>107.57</v>
    <v>106.83</v>
    <v>111.33</v>
    <v>118.93</v>
    <v>105.63</v>
    <v>102.3</v>
    <v>107.8</v>
    <v>111.64</v>
    <v>114.29</v>
  </a>
  <a r="1" c="121">
    <v>71.3</v>
    <v>69.66</v>
    <v>77.58</v>
    <v>79.010000000000005</v>
    <v>77.55</v>
    <v>74.489999999999995</v>
    <v>72.39</v>
    <v>76.48</v>
    <v>77.239999999999995</v>
    <v>78.94</v>
    <v>74.17</v>
    <v>78.05</v>
    <v>80.900000000000006</v>
    <v>82.7</v>
    <v>82.51</v>
    <v>77.319999999999993</v>
    <v>78.02</v>
    <v>82.71</v>
    <v>87.94</v>
    <v>88.87</v>
    <v>91.22</v>
    <v>95.23</v>
    <v>93.78</v>
    <v>99.56</v>
    <v>103.52</v>
    <v>105.24</v>
    <v>109.98</v>
    <v>112.59</v>
    <v>114.02</v>
    <v>124.23</v>
    <v>122.94</v>
    <v>119.62</v>
    <v>126.88</v>
    <v>130.72</v>
    <v>132.44999999999999</v>
    <v>136.74</v>
    <v>146.88999999999999</v>
    <v>150.09</v>
    <v>137.85</v>
    <v>141.71</v>
    <v>131.94</v>
    <v>135.01</v>
    <v>148.12</v>
    <v>156.19</v>
    <v>164.43</v>
    <v>161.33000000000001</v>
    <v>173.55</v>
    <v>178</v>
    <v>180.82</v>
    <v>172.01</v>
    <v>178.86</v>
    <v>184.51</v>
    <v>187.9</v>
    <v>198.97</v>
    <v>181.76</v>
    <v>161.12</v>
    <v>178.72</v>
    <v>195.24</v>
    <v>193.17</v>
    <v>190.4</v>
    <v>211.99</v>
    <v>199.97</v>
    <v>181.71</v>
    <v>210.35</v>
    <v>218.73</v>
    <v>193.25</v>
    <v>212.39</v>
    <v>211.73</v>
    <v>233.56</v>
    <v>227.3</v>
    <v>233.82</v>
    <v>246.39</v>
    <v>229.1</v>
    <v>222.75</v>
    <v>211.77</v>
    <v>193.77</v>
    <v>216.71</v>
    <v>226.17</v>
    <v>216.12</v>
    <v>221.77</v>
    <v>213.13</v>
    <v>212.17</v>
    <v>196.89</v>
    <v>212.11</v>
    <v>198.71</v>
    <v>177.65</v>
    <v>207.16</v>
    <v>217</v>
    <v>207.76</v>
    <v>230.21</v>
    <v>219.94</v>
    <v>225.46</v>
    <v>232.73</v>
    <v>221.03</v>
    <v>237.48</v>
    <v>237.73</v>
    <v>245.68</v>
    <v>230.01</v>
    <v>235.1</v>
    <v>256.68</v>
    <v>260.35000000000002</v>
    <v>273.26</v>
    <v>282.64</v>
    <v>279.08</v>
    <v>268.61</v>
    <v>272.45999999999998</v>
    <v>262.47000000000003</v>
    <v>265.67</v>
    <v>276.37</v>
    <v>274.95</v>
    <v>289.85000000000002</v>
    <v>315.08</v>
    <v>316.04000000000002</v>
    <v>341.8</v>
    <v>362.71</v>
    <v>350.46</v>
    <v>345.5</v>
    <v>365.19</v>
    <v>355.05</v>
    <v>345.47</v>
    <v>351.78</v>
  </a>
  <a r="1" c="121">
    <v>53.76</v>
    <v>42.28</v>
    <v>58.31</v>
    <v>46.13</v>
    <v>43.96</v>
    <v>35.840000000000003</v>
    <v>32.619999999999997</v>
    <v>26.53</v>
    <v>28.07</v>
    <v>37.24</v>
    <v>31.43</v>
    <v>29.96</v>
    <v>34.44</v>
    <v>17.29</v>
    <v>13.44</v>
    <v>13.37</v>
    <v>14.7</v>
    <v>7.35</v>
    <v>9.17</v>
    <v>7.98</v>
    <v>8.0500000000000007</v>
    <v>7.77</v>
    <v>7.84</v>
    <v>7.77</v>
    <v>7.21</v>
    <v>7.07</v>
    <v>10.99</v>
    <v>8.82</v>
    <v>7.95</v>
    <v>7.76</v>
    <v>5.6</v>
    <v>5.5</v>
    <v>5.13</v>
    <v>5.92</v>
    <v>8.48</v>
    <v>7.98</v>
    <v>8.1</v>
    <v>8.84</v>
    <v>5.41</v>
    <v>6.25</v>
    <v>4.53</v>
    <v>5</v>
    <v>5.04</v>
    <v>6.83</v>
    <v>7.59</v>
    <v>6.98</v>
    <v>9.44</v>
    <v>13.61</v>
    <v>11.23</v>
    <v>10.27</v>
    <v>11.06</v>
    <v>11.17</v>
    <v>10.87</v>
    <v>10.3</v>
    <v>13.85</v>
    <v>13.59</v>
    <v>34.5</v>
    <v>38.94</v>
    <v>46.74</v>
    <v>52.23</v>
    <v>48.24</v>
    <v>42.9</v>
    <v>54.08</v>
    <v>91.76</v>
    <v>43.38</v>
    <v>72.459999999999994</v>
    <v>52.67</v>
    <v>41.3</v>
    <v>36.659999999999997</v>
    <v>29.22</v>
    <v>33.840000000000003</v>
    <v>31.31</v>
    <v>54.81</v>
    <v>47.78</v>
    <v>44.95</v>
    <v>39.75</v>
    <v>37.01</v>
    <v>26.13</v>
    <v>23.97</v>
    <v>26.96</v>
    <v>19.38</v>
    <v>19.88</v>
    <v>15.74</v>
    <v>17.55</v>
    <v>14.04</v>
    <v>14.82</v>
    <v>17.7</v>
    <v>18.440000000000001</v>
    <v>16.96</v>
    <v>21.13</v>
    <v>16.25</v>
    <v>23.97</v>
    <v>26.62</v>
    <v>27.34</v>
    <v>28.68</v>
    <v>34.96</v>
    <v>30.35</v>
    <v>25.55</v>
    <v>19.100000000000001</v>
    <v>23.94</v>
    <v>31.53</v>
    <v>32.97</v>
    <v>38.76</v>
    <v>33.770000000000003</v>
    <v>25.57</v>
    <v>38.81</v>
    <v>24.35</v>
    <v>23.46</v>
    <v>21.1</v>
    <v>23.21</v>
    <v>17.73</v>
    <v>18.34</v>
    <v>16.97</v>
    <v>16.97</v>
    <v>16.79</v>
    <v>10.59</v>
    <v>12.81</v>
    <v>12.53</v>
    <v>13.01</v>
    <v>12.21</v>
    <v>17.010000000000002</v>
  </a>
  <a r="1" c="121">
    <v>147.88999999999999</v>
    <v>144.97</v>
    <v>140.08000000000001</v>
    <v>139.41999999999999</v>
    <v>137.62</v>
    <v>124.79</v>
    <v>131.03</v>
    <v>151.44999999999999</v>
    <v>145.94</v>
    <v>153.74</v>
    <v>151.78</v>
    <v>160.62</v>
    <v>158.88</v>
    <v>158.85</v>
    <v>153.69</v>
    <v>162.22</v>
    <v>165.99</v>
    <v>174.52</v>
    <v>179.82</v>
    <v>174.14</v>
    <v>160.29</v>
    <v>152.63</v>
    <v>153.83000000000001</v>
    <v>144.66999999999999</v>
    <v>143.03</v>
    <v>145.08000000000001</v>
    <v>154.06</v>
    <v>153.97</v>
    <v>153.41999999999999</v>
    <v>163.69999999999999</v>
    <v>155.83000000000001</v>
    <v>153.43</v>
    <v>144.96</v>
    <v>141.31</v>
    <v>139.69999999999999</v>
    <v>144.93</v>
    <v>146.47999999999999</v>
    <v>151.21</v>
    <v>115.43</v>
    <v>124.27</v>
    <v>113.67</v>
    <v>134.41999999999999</v>
    <v>138.13</v>
    <v>141.1</v>
    <v>140.27000000000001</v>
    <v>126.99</v>
    <v>137.9</v>
    <v>148.24</v>
    <v>135.53</v>
    <v>145.41999999999999</v>
    <v>133.72999999999999</v>
    <v>134.44999999999999</v>
    <v>134.04</v>
    <v>143.72999999999999</v>
    <v>130.15</v>
    <v>110.93</v>
    <v>125.56</v>
    <v>124.9</v>
    <v>120.77</v>
    <v>122.94</v>
    <v>123.31</v>
    <v>121.67</v>
    <v>111.66</v>
    <v>123.52</v>
    <v>125.88</v>
    <v>119.11</v>
    <v>118.93</v>
    <v>133.26</v>
    <v>141.88</v>
    <v>143.74</v>
    <v>146.59</v>
    <v>140.96</v>
    <v>140.34</v>
    <v>138.93</v>
    <v>125.1</v>
    <v>117.1</v>
    <v>133.66</v>
    <v>133.57</v>
    <v>122.51</v>
    <v>130.02000000000001</v>
    <v>132.21</v>
    <v>138.84</v>
    <v>141.19</v>
    <v>130.79</v>
    <v>128.44999999999999</v>
    <v>118.81</v>
    <v>138.29</v>
    <v>148.9</v>
    <v>140.88999999999999</v>
    <v>134.72999999999999</v>
    <v>129.30000000000001</v>
    <v>131.09</v>
    <v>126.41</v>
    <v>128.59</v>
    <v>133.81</v>
    <v>144.18</v>
    <v>146.83000000000001</v>
    <v>140.30000000000001</v>
    <v>144.63999999999999</v>
    <v>158.56</v>
    <v>163.55000000000001</v>
    <v>183.66</v>
    <v>185.03</v>
    <v>190.96</v>
    <v>166.2</v>
    <v>166.85</v>
    <v>172.95</v>
    <v>192.14</v>
    <v>202.13</v>
    <v>221.08</v>
    <v>206.72</v>
    <v>227.41</v>
    <v>219.83</v>
    <v>255.7</v>
    <v>252.44</v>
    <v>248.66</v>
    <v>241.82</v>
    <v>259.06</v>
    <v>294.77999999999997</v>
    <v>253.15</v>
    <v>243.49</v>
  </a>
  <a r="1" c="121">
    <v>30.1</v>
    <v>31.22</v>
    <v>34.43</v>
    <v>39.700000000000003</v>
    <v>38.909999999999997</v>
    <v>37.93</v>
    <v>35.770000000000003</v>
    <v>36.49</v>
    <v>40.64</v>
    <v>41.07</v>
    <v>46.63</v>
    <v>47</v>
    <v>48.99</v>
    <v>48.28</v>
    <v>46.11</v>
    <v>50.56</v>
    <v>49.36</v>
    <v>51.89</v>
    <v>51.25</v>
    <v>53.03</v>
    <v>55.62</v>
    <v>55.13</v>
    <v>58.19</v>
    <v>54.07</v>
    <v>50.05</v>
    <v>47.6</v>
    <v>48.11</v>
    <v>41.03</v>
    <v>39.67</v>
    <v>43</v>
    <v>39.15</v>
    <v>37</v>
    <v>44.5</v>
    <v>39.9</v>
    <v>32.700000000000003</v>
    <v>32</v>
    <v>33</v>
    <v>23.95</v>
    <v>25.7</v>
    <v>26.8</v>
    <v>25.35</v>
    <v>27.85</v>
    <v>26.35</v>
    <v>27.55</v>
    <v>31</v>
    <v>30.6</v>
    <v>30.4</v>
    <v>33</v>
    <v>36.5</v>
    <v>36.15</v>
    <v>37.9</v>
    <v>40.1</v>
    <v>43.3</v>
    <v>46.95</v>
    <v>43.3</v>
    <v>42.15</v>
    <v>59.5</v>
    <v>61.5</v>
    <v>63.6</v>
    <v>88.4</v>
    <v>91</v>
    <v>90.9</v>
    <v>95.4</v>
    <v>95.5</v>
    <v>105</v>
    <v>112</v>
    <v>123.8</v>
    <v>125.8</v>
    <v>125</v>
    <v>118.2</v>
    <v>137.80000000000001</v>
    <v>128.6</v>
    <v>112.4</v>
    <v>106.4</v>
    <v>122</v>
    <v>123.4</v>
    <v>116.8</v>
    <v>108.2</v>
    <v>96.8</v>
    <v>102.4</v>
    <v>95</v>
    <v>93.5</v>
    <v>98.5</v>
    <v>99.4</v>
    <v>104.2</v>
    <v>108.8</v>
    <v>111</v>
    <v>109.4</v>
    <v>107</v>
    <v>126</v>
    <v>140</v>
    <v>143.19999999999999</v>
    <v>138.80000000000001</v>
    <v>132</v>
    <v>128.80000000000001</v>
    <v>147.80000000000001</v>
    <v>133.80000000000001</v>
    <v>145.4</v>
    <v>113.4</v>
    <v>110.4</v>
    <v>115.8</v>
    <v>97</v>
    <v>95.6</v>
    <v>90</v>
    <v>90</v>
    <v>84</v>
    <v>76.599999999999994</v>
    <v>88.3</v>
    <v>77.900000000000006</v>
    <v>73.5</v>
    <v>59.3</v>
    <v>62</v>
    <v>65.8</v>
    <v>58</v>
    <v>55.2</v>
    <v>52.9</v>
    <v>54</v>
    <v>53.2</v>
    <v>59.15</v>
    <v>58.3</v>
    <v>51.3</v>
  </a>
</arrayData>
</file>

<file path=xl/richData/rdrichvalue.xml><?xml version="1.0" encoding="utf-8"?>
<rvData xmlns="http://schemas.microsoft.com/office/spreadsheetml/2017/richdata" count="2083">
  <rv s="0">
    <fb>28.19</fb>
    <v>0</v>
  </rv>
  <rv s="0">
    <fb>147.88999999999999</fb>
    <v>0</v>
  </rv>
  <rv s="0">
    <fb>17.27</fb>
    <v>0</v>
  </rv>
  <rv s="0">
    <fb>1334.972</fb>
    <v>1</v>
  </rv>
  <rv s="0">
    <fb>116.19</fb>
    <v>0</v>
  </rv>
  <rv s="0">
    <fb>75.239999999999995</fb>
    <v>0</v>
  </rv>
  <rv s="0">
    <fb>24.602499999999999</fb>
    <v>0</v>
  </rv>
  <rv s="0">
    <fb>0.33500000000000002</fb>
    <v>2</v>
  </rv>
  <rv s="0">
    <fb>3.6682999999999999</fb>
    <v>3</v>
  </rv>
  <rv s="0">
    <fb>53.76</fb>
    <v>0</v>
  </rv>
  <rv s="0">
    <fb>115.03</fb>
    <v>0</v>
  </rv>
  <rv s="0">
    <fb>0.1787</fb>
    <v>4</v>
  </rv>
  <rv s="0">
    <fb>118.38</fb>
    <v>0</v>
  </rv>
  <rv s="0">
    <fb>30.1</fb>
    <v>5</v>
  </rv>
  <rv s="0">
    <fb>27.56</fb>
    <v>0</v>
  </rv>
  <rv s="0">
    <fb>6.73</fb>
    <v>0</v>
  </rv>
  <rv s="0">
    <fb>71.3</fb>
    <v>0</v>
  </rv>
  <rv s="0">
    <fb>7.9272999999999998</fb>
    <v>0</v>
  </rv>
  <rv s="0">
    <fb>27.574999999999999</fb>
    <v>0</v>
  </rv>
  <rv s="0">
    <fb>144.97</fb>
    <v>0</v>
  </rv>
  <rv s="0">
    <fb>17.690000000000001</fb>
    <v>0</v>
  </rv>
  <rv s="0">
    <fb>1260.7791999999999</fb>
    <v>1</v>
  </rv>
  <rv s="0">
    <fb>110.33</fb>
    <v>0</v>
  </rv>
  <rv s="0">
    <fb>74.349999999999994</fb>
    <v>0</v>
  </rv>
  <rv s="0">
    <fb>24.387499999999999</fb>
    <v>0</v>
  </rv>
  <rv s="0">
    <fb>0.26</fb>
    <v>2</v>
  </rv>
  <rv s="0">
    <fb>3.5565000000000002</fb>
    <v>3</v>
  </rv>
  <rv s="0">
    <fb>42.28</fb>
    <v>0</v>
  </rv>
  <rv s="0">
    <fb>103.26</fb>
    <v>0</v>
  </rv>
  <rv s="0">
    <fb>0.16930000000000001</fb>
    <v>4</v>
  </rv>
  <rv s="0">
    <fb>117.28</fb>
    <v>0</v>
  </rv>
  <rv s="0">
    <fb>31.22</fb>
    <v>5</v>
  </rv>
  <rv s="0">
    <fb>27.01</fb>
    <v>0</v>
  </rv>
  <rv s="0">
    <fb>6.2050000000000001</fb>
    <v>0</v>
  </rv>
  <rv s="0">
    <fb>69.66</fb>
    <v>0</v>
  </rv>
  <rv s="0">
    <fb>7.6181999999999999</fb>
    <v>0</v>
  </rv>
  <rv s="0">
    <fb>29.875</fb>
    <v>0</v>
  </rv>
  <rv s="0">
    <fb>140.08000000000001</fb>
    <v>0</v>
  </rv>
  <rv s="0">
    <fb>17.489999999999998</fb>
    <v>0</v>
  </rv>
  <rv s="0">
    <fb>1399.2059999999999</fb>
    <v>1</v>
  </rv>
  <rv s="0">
    <fb>117.53</fb>
    <v>0</v>
  </rv>
  <rv s="0">
    <fb>82.74</fb>
    <v>0</v>
  </rv>
  <rv s="0">
    <fb>25.664999999999999</fb>
    <v>0</v>
  </rv>
  <rv s="0">
    <fb>0.245</fb>
    <v>2</v>
  </rv>
  <rv s="0">
    <fb>3.5937999999999999</fb>
    <v>3</v>
  </rv>
  <rv s="0">
    <fb>58.31</fb>
    <v>0</v>
  </rv>
  <rv s="0">
    <fb>108.38</fb>
    <v>0</v>
  </rv>
  <rv s="0">
    <fb>122.62</fb>
    <v>0</v>
  </rv>
  <rv s="0">
    <fb>34.43</fb>
    <v>5</v>
  </rv>
  <rv s="0">
    <fb>27.05</fb>
    <v>0</v>
  </rv>
  <rv s="0">
    <fb>6.54</fb>
    <v>0</v>
  </rv>
  <rv s="0">
    <fb>77.58</fb>
    <v>0</v>
  </rv>
  <rv s="0">
    <fb>7.8364000000000003</fb>
    <v>0</v>
  </rv>
  <rv s="0">
    <fb>29.574999999999999</fb>
    <v>0</v>
  </rv>
  <rv s="0">
    <fb>139.41999999999999</fb>
    <v>0</v>
  </rv>
  <rv s="0">
    <fb>19.97</fb>
    <v>0</v>
  </rv>
  <rv s="0">
    <fb>1349.9102</fb>
    <v>1</v>
  </rv>
  <rv s="0">
    <fb>114.24</fb>
    <v>0</v>
  </rv>
  <rv s="0">
    <fb>81.66</fb>
    <v>0</v>
  </rv>
  <rv s="0">
    <fb>24.965</fb>
    <v>0</v>
  </rv>
  <rv s="0">
    <fb>0.22</fb>
    <v>2</v>
  </rv>
  <rv s="0">
    <fb>3.6497000000000002</fb>
    <v>3</v>
  </rv>
  <rv s="0">
    <fb>46.13</fb>
    <v>0</v>
  </rv>
  <rv s="0">
    <fb>123.33</fb>
    <v>0</v>
  </rv>
  <rv s="0">
    <fb>0.15989999999999999</fb>
    <v>4</v>
  </rv>
  <rv s="0">
    <fb>124.42</fb>
    <v>0</v>
  </rv>
  <rv s="0">
    <fb>39.700000000000003</fb>
    <v>5</v>
  </rv>
  <rv s="0">
    <fb>31</fb>
    <v>0</v>
  </rv>
  <rv s="0">
    <fb>7.16</fb>
    <v>0</v>
  </rv>
  <rv s="0">
    <fb>79.010000000000005</fb>
    <v>0</v>
  </rv>
  <rv s="0">
    <fb>7.5545</fb>
    <v>0</v>
  </rv>
  <rv s="0">
    <fb>26.315000000000001</fb>
    <v>0</v>
  </rv>
  <rv s="0">
    <fb>137.62</fb>
    <v>0</v>
  </rv>
  <rv s="0">
    <fb>20.079999999999998</fb>
    <v>0</v>
  </rv>
  <rv s="0">
    <fb>1367.338</fb>
    <v>1</v>
  </rv>
  <rv s="0">
    <fb>108.45</fb>
    <v>0</v>
  </rv>
  <rv s="0">
    <fb>77.95</fb>
    <v>0</v>
  </rv>
  <rv s="0">
    <fb>25.9725</fb>
    <v>0</v>
  </rv>
  <rv s="0">
    <fb>3.6776</fb>
    <v>3</v>
  </rv>
  <rv s="0">
    <fb>43.96</fb>
    <v>0</v>
  </rv>
  <rv s="0">
    <fb>114.38</fb>
    <v>0</v>
  </rv>
  <rv s="0">
    <fb>0.12230000000000001</fb>
    <v>4</v>
  </rv>
  <rv s="0">
    <fb>123.04</fb>
    <v>0</v>
  </rv>
  <rv s="0">
    <fb>38.909999999999997</fb>
    <v>5</v>
  </rv>
  <rv s="0">
    <fb>29.454999999999998</fb>
    <v>0</v>
  </rv>
  <rv s="0">
    <fb>6.91</fb>
    <v>0</v>
  </rv>
  <rv s="0">
    <fb>77.55</fb>
    <v>0</v>
  </rv>
  <rv s="0">
    <fb>7.1181999999999999</fb>
    <v>0</v>
  </rv>
  <rv s="0">
    <fb>24.335000000000001</fb>
    <v>0</v>
  </rv>
  <rv s="0">
    <fb>124.79</fb>
    <v>0</v>
  </rv>
  <rv s="0">
    <fb>17.8</fb>
    <v>0</v>
  </rv>
  <rv s="0">
    <fb>1433.0658000000001</fb>
    <v>1</v>
  </rv>
  <rv s="0">
    <fb>70.56</fb>
    <v>0</v>
  </rv>
  <rv s="0">
    <fb>77.849999999999994</fb>
    <v>0</v>
  </rv>
  <rv s="0">
    <fb>27.927499999999998</fb>
    <v>0</v>
  </rv>
  <rv s="0">
    <fb>0.19</fb>
    <v>2</v>
  </rv>
  <rv s="0">
    <fb>3.7614000000000001</fb>
    <v>3</v>
  </rv>
  <rv s="0">
    <fb>35.840000000000003</fb>
    <v>0</v>
  </rv>
  <rv s="0">
    <fb>91.84</fb>
    <v>0</v>
  </rv>
  <rv s="0">
    <fb>120.03</fb>
    <v>0</v>
  </rv>
  <rv s="0">
    <fb>37.93</fb>
    <v>5</v>
  </rv>
  <rv s="0">
    <fb>29.59</fb>
    <v>0</v>
  </rv>
  <rv s="0">
    <fb>5.93</fb>
    <v>0</v>
  </rv>
  <rv s="0">
    <fb>74.489999999999995</fb>
    <v>0</v>
  </rv>
  <rv s="0">
    <fb>6.0454999999999997</fb>
    <v>0</v>
  </rv>
  <rv s="0">
    <fb>24.172499999999999</fb>
    <v>0</v>
  </rv>
  <rv s="0">
    <fb>131.03</fb>
    <v>0</v>
  </rv>
  <rv s="0">
    <fb>17.079999999999998</fb>
    <v>0</v>
  </rv>
  <rv s="0">
    <fb>1413.5825</fb>
    <v>1</v>
  </rv>
  <rv s="0">
    <fb>73.5</fb>
    <v>0</v>
  </rv>
  <rv s="0">
    <fb>80.150000000000006</fb>
    <v>0</v>
  </rv>
  <rv s="0">
    <fb>28.204999999999998</fb>
    <v>0</v>
  </rv>
  <rv s="0">
    <fb>0.185</fb>
    <v>2</v>
  </rv>
  <rv s="0">
    <fb>3.7334000000000001</fb>
    <v>3</v>
  </rv>
  <rv s="0">
    <fb>32.619999999999997</fb>
    <v>0</v>
  </rv>
  <rv s="0">
    <fb>93.41</fb>
    <v>0</v>
  </rv>
  <rv s="0">
    <fb>104.1</fb>
    <v>0</v>
  </rv>
  <rv s="0">
    <fb>35.770000000000003</fb>
    <v>5</v>
  </rv>
  <rv s="0">
    <fb>28.3</fb>
    <v>0</v>
  </rv>
  <rv s="0">
    <fb>5.14</fb>
    <v>0</v>
  </rv>
  <rv s="0">
    <fb>72.39</fb>
    <v>0</v>
  </rv>
  <rv s="0">
    <fb>5.1544999999999996</fb>
    <v>0</v>
  </rv>
  <rv s="0">
    <fb>27.247499999999999</fb>
    <v>0</v>
  </rv>
  <rv s="0">
    <fb>151.44999999999999</fb>
    <v>0</v>
  </rv>
  <rv s="0">
    <fb>19.510000000000002</fb>
    <v>0</v>
  </rv>
  <rv s="0">
    <fb>1426.2083</fb>
    <v>1</v>
  </rv>
  <rv s="0">
    <fb>72.47</fb>
    <v>0</v>
  </rv>
  <rv s="0">
    <fb>83.59</fb>
    <v>0</v>
  </rv>
  <rv s="0">
    <fb>29.585000000000001</fb>
    <v>0</v>
  </rv>
  <rv s="0">
    <fb>0.18</fb>
    <v>2</v>
  </rv>
  <rv s="0">
    <fb>4.5621</fb>
    <v>3</v>
  </rv>
  <rv s="0">
    <fb>26.53</fb>
    <v>0</v>
  </rv>
  <rv s="0">
    <fb>102.23</fb>
    <v>0</v>
  </rv>
  <rv s="0">
    <fb>106.32</fb>
    <v>0</v>
  </rv>
  <rv s="0">
    <fb>36.49</fb>
    <v>5</v>
  </rv>
  <rv s="0">
    <fb>29.215</fb>
    <v>0</v>
  </rv>
  <rv s="0">
    <fb>6.26</fb>
    <v>0</v>
  </rv>
  <rv s="0">
    <fb>76.48</fb>
    <v>0</v>
  </rv>
  <rv s="0">
    <fb>6.5091000000000001</fb>
    <v>0</v>
  </rv>
  <rv s="0">
    <fb>23.434999999999999</fb>
    <v>0</v>
  </rv>
  <rv s="0">
    <fb>145.94</fb>
    <v>0</v>
  </rv>
  <rv s="0">
    <fb>18.43</fb>
    <v>0</v>
  </rv>
  <rv s="0">
    <fb>1473.6812</fb>
    <v>1</v>
  </rv>
  <rv s="0">
    <fb>72.27</fb>
    <v>0</v>
  </rv>
  <rv s="0">
    <fb>88.4</fb>
    <v>0</v>
  </rv>
  <rv s="0">
    <fb>29.395</fb>
    <v>0</v>
  </rv>
  <rv s="0">
    <fb>0.28000000000000003</fb>
    <v>2</v>
  </rv>
  <rv s="0">
    <fb>3.9569000000000001</fb>
    <v>3</v>
  </rv>
  <rv s="0">
    <fb>28.07</fb>
    <v>0</v>
  </rv>
  <rv s="0">
    <fb>90.03</fb>
    <v>0</v>
  </rv>
  <rv s="0">
    <fb>101.7</fb>
    <v>0</v>
  </rv>
  <rv s="0">
    <fb>40.64</fb>
    <v>5</v>
  </rv>
  <rv s="0">
    <fb>27.94</fb>
    <v>0</v>
  </rv>
  <rv s="0">
    <fb>6.2850000000000001</fb>
    <v>0</v>
  </rv>
  <rv s="0">
    <fb>77.239999999999995</fb>
    <v>0</v>
  </rv>
  <rv s="0">
    <fb>6.4090999999999996</fb>
    <v>0</v>
  </rv>
  <rv s="0">
    <fb>153.74</fb>
    <v>0</v>
  </rv>
  <rv s="0">
    <fb>20.94</fb>
    <v>0</v>
  </rv>
  <rv s="0">
    <fb>1459.5402999999999</fb>
    <v>1</v>
  </rv>
  <rv s="0">
    <fb>84.41</fb>
    <v>0</v>
  </rv>
  <rv s="0">
    <fb>89.02</fb>
    <v>0</v>
  </rv>
  <rv s="0">
    <fb>30.03</fb>
    <v>0</v>
  </rv>
  <rv s="0">
    <fb>0.24</fb>
    <v>2</v>
  </rv>
  <rv s="0">
    <fb>4.2733999999999996</fb>
    <v>3</v>
  </rv>
  <rv s="0">
    <fb>37.24</fb>
    <v>0</v>
  </rv>
  <rv s="0">
    <fb>102.57</fb>
    <v>0</v>
  </rv>
  <rv s="0">
    <fb>103.41</fb>
    <v>0</v>
  </rv>
  <rv s="0">
    <fb>41.07</fb>
    <v>5</v>
  </rv>
  <rv s="0">
    <fb>27.984999999999999</fb>
    <v>0</v>
  </rv>
  <rv s="0">
    <fb>5.875</fb>
    <v>0</v>
  </rv>
  <rv s="0">
    <fb>78.94</fb>
    <v>0</v>
  </rv>
  <rv s="0">
    <fb>6.5364000000000004</fb>
    <v>0</v>
  </rv>
  <rv s="0">
    <fb>23.9</fb>
    <v>0</v>
  </rv>
  <rv s="0">
    <fb>151.78</fb>
    <v>0</v>
  </rv>
  <rv s="0">
    <fb>19.09</fb>
    <v>0</v>
  </rv>
  <rv s="0">
    <fb>1620.6452999999999</fb>
    <v>1</v>
  </rv>
  <rv s="0">
    <fb>79.98</fb>
    <v>0</v>
  </rv>
  <rv s="0">
    <fb>93.74</fb>
    <v>0</v>
  </rv>
  <rv s="0">
    <fb>32.6</fb>
    <v>0</v>
  </rv>
  <rv s="0">
    <fb>3.9197000000000002</fb>
    <v>3</v>
  </rv>
  <rv s="0">
    <fb>31.43</fb>
    <v>0</v>
  </rv>
  <rv s="0">
    <fb>91.48</fb>
    <v>0</v>
  </rv>
  <rv s="0">
    <fb>99.99</fb>
    <v>0</v>
  </rv>
  <rv s="0">
    <fb>46.63</fb>
    <v>5</v>
  </rv>
  <rv s="0">
    <fb>28.31</fb>
    <v>0</v>
  </rv>
  <rv s="0">
    <fb>5</fb>
    <v>0</v>
  </rv>
  <rv s="0">
    <fb>74.17</fb>
    <v>0</v>
  </rv>
  <rv s="0">
    <fb>6.5273000000000003</fb>
    <v>0</v>
  </rv>
  <rv s="0">
    <fb>26.052499999999998</fb>
    <v>0</v>
  </rv>
  <rv s="0">
    <fb>160.62</fb>
    <v>0</v>
  </rv>
  <rv s="0">
    <fb>20.2</fb>
    <v>0</v>
  </rv>
  <rv s="0">
    <fb>1704.9855</fb>
    <v>1</v>
  </rv>
  <rv s="0">
    <fb>90.21</fb>
    <v>0</v>
  </rv>
  <rv s="0">
    <fb>88.95</fb>
    <v>0</v>
  </rv>
  <rv s="0">
    <fb>32.072499999999998</fb>
    <v>0</v>
  </rv>
  <rv s="0">
    <fb>0.255</fb>
    <v>2</v>
  </rv>
  <rv s="0">
    <fb>4.1710000000000003</fb>
    <v>3</v>
  </rv>
  <rv s="0">
    <fb>29.96</fb>
    <v>0</v>
  </rv>
  <rv s="0">
    <fb>91.25</fb>
    <v>0</v>
  </rv>
  <rv s="0">
    <fb>111.6</fb>
    <v>0</v>
  </rv>
  <rv s="0">
    <fb>47</fb>
    <v>5</v>
  </rv>
  <rv s="0">
    <fb>28.32</fb>
    <v>0</v>
  </rv>
  <rv s="0">
    <fb>5.7</fb>
    <v>0</v>
  </rv>
  <rv s="0">
    <fb>78.05</fb>
    <v>0</v>
  </rv>
  <rv s="0">
    <fb>6.8909000000000002</fb>
    <v>0</v>
  </rv>
  <rv s="0">
    <fb>26.524999999999999</fb>
    <v>0</v>
  </rv>
  <rv s="0">
    <fb>158.88</fb>
    <v>0</v>
  </rv>
  <rv s="0">
    <fb>21.32</fb>
    <v>0</v>
  </rv>
  <rv s="0">
    <fb>1655.4924000000001</fb>
    <v>1</v>
  </rv>
  <rv s="0">
    <fb>81.099999999999994</fb>
    <v>0</v>
  </rv>
  <rv s="0">
    <fb>87.14</fb>
    <v>0</v>
  </rv>
  <rv s="0">
    <fb>30.234999999999999</fb>
    <v>0</v>
  </rv>
  <rv s="0">
    <fb>0.19500000000000001</fb>
    <v>2</v>
  </rv>
  <rv s="0">
    <fb>4.5434000000000001</fb>
    <v>3</v>
  </rv>
  <rv s="0">
    <fb>34.44</fb>
    <v>0</v>
  </rv>
  <rv s="0">
    <fb>97.45</fb>
    <v>0</v>
  </rv>
  <rv s="0">
    <fb>120.63</fb>
    <v>0</v>
  </rv>
  <rv s="0">
    <fb>48.99</fb>
    <v>5</v>
  </rv>
  <rv s="0">
    <fb>28.285</fb>
    <v>0</v>
  </rv>
  <rv s="0">
    <fb>5.6340000000000003</fb>
    <v>0</v>
  </rv>
  <rv s="0">
    <fb>80.900000000000006</fb>
    <v>0</v>
  </rv>
  <rv s="0">
    <fb>6.9726999999999997</fb>
    <v>0</v>
  </rv>
  <rv s="0">
    <fb>28.262499999999999</fb>
    <v>0</v>
  </rv>
  <rv s="0">
    <fb>158.85</fb>
    <v>0</v>
  </rv>
  <rv s="0">
    <fb>21.52</fb>
    <v>0</v>
  </rv>
  <rv s="0">
    <fb>1659.5327</fb>
    <v>1</v>
  </rv>
  <rv s="0">
    <fb>94.29</fb>
    <v>0</v>
  </rv>
  <rv s="0">
    <fb>87.28</fb>
    <v>0</v>
  </rv>
  <rv s="0">
    <fb>30.58</fb>
    <v>0</v>
  </rv>
  <rv s="0">
    <fb>0.2</fb>
    <v>2</v>
  </rv>
  <rv s="0">
    <fb>4.2362000000000002</fb>
    <v>3</v>
  </rv>
  <rv s="0">
    <fb>17.29</fb>
    <v>0</v>
  </rv>
  <rv s="0">
    <fb>98.55</fb>
    <v>0</v>
  </rv>
  <rv s="0">
    <fb>116.06</fb>
    <v>0</v>
  </rv>
  <rv s="0">
    <fb>48.28</fb>
    <v>5</v>
  </rv>
  <rv s="0">
    <fb>27.34</fb>
    <v>0</v>
  </rv>
  <rv s="0">
    <fb>5.58</fb>
    <v>0</v>
  </rv>
  <rv s="0">
    <fb>82.7</fb>
    <v>0</v>
  </rv>
  <rv s="0">
    <fb>6.7908999999999997</fb>
    <v>0</v>
  </rv>
  <rv s="0">
    <fb>28.385000000000002</fb>
    <v>0</v>
  </rv>
  <rv s="0">
    <fb>153.69</fb>
    <v>0</v>
  </rv>
  <rv s="0">
    <fb>20.8</fb>
    <v>0</v>
  </rv>
  <rv s="0">
    <fb>1634.7862</fb>
    <v>1</v>
  </rv>
  <rv s="0">
    <fb>86.97</fb>
    <v>0</v>
  </rv>
  <rv s="0">
    <fb>83.32</fb>
    <v>0</v>
  </rv>
  <rv s="0">
    <fb>32</fb>
    <v>0</v>
  </rv>
  <rv s="0">
    <fb>4.2827999999999999</fb>
    <v>3</v>
  </rv>
  <rv s="0">
    <fb>13.44</fb>
    <v>0</v>
  </rv>
  <rv s="0">
    <fb>124.87</fb>
    <v>0</v>
  </rv>
  <rv s="0">
    <fb>0.1249</fb>
    <v>4</v>
  </rv>
  <rv s="0">
    <fb>115.66</fb>
    <v>0</v>
  </rv>
  <rv s="0">
    <fb>46.11</fb>
    <v>5</v>
  </rv>
  <rv s="0">
    <fb>26.5</fb>
    <v>0</v>
  </rv>
  <rv s="0">
    <fb>6.04</fb>
    <v>0</v>
  </rv>
  <rv s="0">
    <fb>82.51</fb>
    <v>0</v>
  </rv>
  <rv s="0">
    <fb>7.5364000000000004</fb>
    <v>0</v>
  </rv>
  <rv s="0">
    <fb>27.63</fb>
    <v>0</v>
  </rv>
  <rv s="0">
    <fb>162.22</fb>
    <v>0</v>
  </rv>
  <rv s="0">
    <fb>22.15</fb>
    <v>0</v>
  </rv>
  <rv s="0">
    <fb>1510.5485000000001</fb>
    <v>1</v>
  </rv>
  <rv s="0">
    <fb>102.29</fb>
    <v>0</v>
  </rv>
  <rv s="0">
    <fb>87.3</fb>
    <v>0</v>
  </rv>
  <rv s="0">
    <fb>28.557500000000001</fb>
    <v>0</v>
  </rv>
  <rv s="0">
    <fb>4.6551999999999998</fb>
    <v>3</v>
  </rv>
  <rv s="0">
    <fb>13.37</fb>
    <v>0</v>
  </rv>
  <rv s="0">
    <fb>117</fb>
    <v>0</v>
  </rv>
  <rv s="0">
    <fb>118.53</fb>
    <v>0</v>
  </rv>
  <rv s="0">
    <fb>50.56</fb>
    <v>5</v>
  </rv>
  <rv s="0">
    <fb>30.09</fb>
    <v>0</v>
  </rv>
  <rv s="0">
    <fb>6.47</fb>
    <v>0</v>
  </rv>
  <rv s="0">
    <fb>77.319999999999993</fb>
    <v>0</v>
  </rv>
  <rv s="0">
    <fb>7.1273</fb>
    <v>0</v>
  </rv>
  <rv s="0">
    <fb>28.954999999999998</fb>
    <v>0</v>
  </rv>
  <rv s="0">
    <fb>165.99</fb>
    <v>0</v>
  </rv>
  <rv s="0">
    <fb>21.4</fb>
    <v>0</v>
  </rv>
  <rv s="0">
    <fb>1577.7175999999999</fb>
    <v>1</v>
  </rv>
  <rv s="0">
    <fb>100.27</fb>
    <v>0</v>
  </rv>
  <rv s="0">
    <fb>90.26</fb>
    <v>0</v>
  </rv>
  <rv s="0">
    <fb>29.864999999999998</fb>
    <v>0</v>
  </rv>
  <rv s="0">
    <fb>4.7483000000000004</fb>
    <v>3</v>
  </rv>
  <rv s="0">
    <fb>14.7</fb>
    <v>0</v>
  </rv>
  <rv s="0">
    <fb>123.8</fb>
    <v>0</v>
  </rv>
  <rv s="0">
    <fb>0.2114</fb>
    <v>4</v>
  </rv>
  <rv s="0">
    <fb>117.2</fb>
    <v>0</v>
  </rv>
  <rv s="0">
    <fb>49.36</fb>
    <v>5</v>
  </rv>
  <rv s="0">
    <fb>29.03</fb>
    <v>0</v>
  </rv>
  <rv s="0">
    <fb>7.01</fb>
    <v>0</v>
  </rv>
  <rv s="0">
    <fb>78.02</fb>
    <v>0</v>
  </rv>
  <rv s="0">
    <fb>6.8090999999999999</fb>
    <v>0</v>
  </rv>
  <rv s="0">
    <fb>30.337499999999999</fb>
    <v>0</v>
  </rv>
  <rv s="0">
    <fb>174.52</fb>
    <v>0</v>
  </rv>
  <rv s="0">
    <fb>21.85</fb>
    <v>0</v>
  </rv>
  <rv s="0">
    <fb>1543.3755000000001</fb>
    <v>1</v>
  </rv>
  <rv s="0">
    <fb>121.21</fb>
    <v>0</v>
  </rv>
  <rv s="0">
    <fb>83.89</fb>
    <v>0</v>
  </rv>
  <rv s="0">
    <fb>30.93</fb>
    <v>0</v>
  </rv>
  <rv s="0">
    <fb>4.9903000000000004</fb>
    <v>3</v>
  </rv>
  <rv s="0">
    <fb>7.35</fb>
    <v>0</v>
  </rv>
  <rv s="0">
    <fb>140.71</fb>
    <v>0</v>
  </rv>
  <rv s="0">
    <fb>0.20180000000000001</fb>
    <v>4</v>
  </rv>
  <rv s="0">
    <fb>115.75</fb>
    <v>0</v>
  </rv>
  <rv s="0">
    <fb>51.89</fb>
    <v>5</v>
  </rv>
  <rv s="0">
    <fb>29.49</fb>
    <v>0</v>
  </rv>
  <rv s="0">
    <fb>6.43</fb>
    <v>0</v>
  </rv>
  <rv s="0">
    <fb>82.71</fb>
    <v>0</v>
  </rv>
  <rv s="0">
    <fb>7.0454999999999997</fb>
    <v>0</v>
  </rv>
  <rv s="0">
    <fb>34.247500000000002</fb>
    <v>0</v>
  </rv>
  <rv s="0">
    <fb>179.82</fb>
    <v>0</v>
  </rv>
  <rv s="0">
    <fb>21.05</fb>
    <v>0</v>
  </rv>
  <rv s="0">
    <fb>1664.5830000000001</fb>
    <v>1</v>
  </rv>
  <rv s="0">
    <fb>133.1</fb>
    <v>0</v>
  </rv>
  <rv s="0">
    <fb>81.319999999999993</fb>
    <v>0</v>
  </rv>
  <rv s="0">
    <fb>32.75</fb>
    <v>0</v>
  </rv>
  <rv s="0">
    <fb>0.23</fb>
    <v>2</v>
  </rv>
  <rv s="0">
    <fb>6.3868999999999998</fb>
    <v>3</v>
  </rv>
  <rv s="0">
    <fb>9.17</fb>
    <v>0</v>
  </rv>
  <rv s="0">
    <fb>142.13</fb>
    <v>0</v>
  </rv>
  <rv s="0">
    <fb>113.15</fb>
    <v>0</v>
  </rv>
  <rv s="0">
    <fb>51.25</fb>
    <v>5</v>
  </rv>
  <rv s="0">
    <fb>31.42</fb>
    <v>0</v>
  </rv>
  <rv s="0">
    <fb>6.8449999999999998</fb>
    <v>0</v>
  </rv>
  <rv s="0">
    <fb>87.94</fb>
    <v>0</v>
  </rv>
  <rv s="0">
    <fb>7.4545000000000003</fb>
    <v>0</v>
  </rv>
  <rv s="0">
    <fb>35.914999999999999</fb>
    <v>0</v>
  </rv>
  <rv s="0">
    <fb>174.14</fb>
    <v>0</v>
  </rv>
  <rv s="0">
    <fb>22.9</fb>
    <v>0</v>
  </rv>
  <rv s="0">
    <fb>1676.1986999999999</fb>
    <v>1</v>
  </rv>
  <rv s="0">
    <fb>133.66999999999999</fb>
    <v>0</v>
  </rv>
  <rv s="0">
    <fb>82.01</fb>
    <v>0</v>
  </rv>
  <rv s="0">
    <fb>32.092500000000001</fb>
    <v>0</v>
  </rv>
  <rv s="0">
    <fb>0.43</fb>
    <v>2</v>
  </rv>
  <rv s="0">
    <fb>6.4055</fb>
    <v>3</v>
  </rv>
  <rv s="0">
    <fb>7.98</fb>
    <v>0</v>
  </rv>
  <rv s="0">
    <fb>147.81</fb>
    <v>0</v>
  </rv>
  <rv s="0">
    <fb>0.19220000000000001</fb>
    <v>4</v>
  </rv>
  <rv s="0">
    <fb>108.62</fb>
    <v>0</v>
  </rv>
  <rv s="0">
    <fb>53.03</fb>
    <v>5</v>
  </rv>
  <rv s="0">
    <fb>32.46</fb>
    <v>0</v>
  </rv>
  <rv s="0">
    <fb>7.11</fb>
    <v>0</v>
  </rv>
  <rv s="0">
    <fb>88.87</fb>
    <v>0</v>
  </rv>
  <rv s="0">
    <fb>7.8182</fb>
    <v>0</v>
  </rv>
  <rv s="0">
    <fb>35.912500000000001</fb>
    <v>0</v>
  </rv>
  <rv s="0">
    <fb>160.29</fb>
    <v>0</v>
  </rv>
  <rv s="0">
    <fb>23.15</fb>
    <v>0</v>
  </rv>
  <rv s="0">
    <fb>1565.5969</fb>
    <v>1</v>
  </rv>
  <rv s="0">
    <fb>124.28</fb>
    <v>0</v>
  </rv>
  <rv s="0">
    <fb>81.650000000000006</fb>
    <v>0</v>
  </rv>
  <rv s="0">
    <fb>33.39</fb>
    <v>0</v>
  </rv>
  <rv s="0">
    <fb>0.72</fb>
    <v>2</v>
  </rv>
  <rv s="0">
    <fb>6.33</fb>
    <v>3</v>
  </rv>
  <rv s="0">
    <fb>8.0500000000000007</fb>
    <v>0</v>
  </rv>
  <rv s="0">
    <fb>152.19999999999999</fb>
    <v>0</v>
  </rv>
  <rv s="0">
    <fb>108.14</fb>
    <v>0</v>
  </rv>
  <rv s="0">
    <fb>55.62</fb>
    <v>5</v>
  </rv>
  <rv s="0">
    <fb>32.72</fb>
    <v>0</v>
  </rv>
  <rv s="0">
    <fb>7.8</fb>
    <v>0</v>
  </rv>
  <rv s="0">
    <fb>91.22</fb>
    <v>0</v>
  </rv>
  <rv s="0">
    <fb>7.7908999999999997</fb>
    <v>0</v>
  </rv>
  <rv s="0">
    <fb>38.19</fb>
    <v>0</v>
  </rv>
  <rv s="0">
    <fb>152.63</fb>
    <v>0</v>
  </rv>
  <rv s="0">
    <fb>25.05</fb>
    <v>0</v>
  </rv>
  <rv s="0">
    <fb>1720.6415</fb>
    <v>1</v>
  </rv>
  <rv s="0">
    <fb>129.33000000000001</fb>
    <v>0</v>
  </rv>
  <rv s="0">
    <fb>80.5</fb>
    <v>0</v>
  </rv>
  <rv s="0">
    <fb>35.36</fb>
    <v>0</v>
  </rv>
  <rv s="0">
    <fb>0.71</fb>
    <v>2</v>
  </rv>
  <rv s="0">
    <fb>6.2</fb>
    <v>3</v>
  </rv>
  <rv s="0">
    <fb>7.77</fb>
    <v>0</v>
  </rv>
  <rv s="0">
    <fb>163.07</fb>
    <v>0</v>
  </rv>
  <rv s="0">
    <fb>107.54</fb>
    <v>0</v>
  </rv>
  <rv s="0">
    <fb>55.13</fb>
    <v>5</v>
  </rv>
  <rv s="0">
    <fb>34.770000000000003</fb>
    <v>0</v>
  </rv>
  <rv s="0">
    <fb>8.82</fb>
    <v>0</v>
  </rv>
  <rv s="0">
    <fb>95.23</fb>
    <v>0</v>
  </rv>
  <rv s="0">
    <fb>9.0182000000000002</fb>
    <v>0</v>
  </rv>
  <rv s="0">
    <fb>36.005000000000003</fb>
    <v>0</v>
  </rv>
  <rv s="0">
    <fb>153.83000000000001</fb>
    <v>0</v>
  </rv>
  <rv s="0">
    <fb>24.35</fb>
    <v>0</v>
  </rv>
  <rv s="0">
    <fb>1651.9572000000001</fb>
    <v>1</v>
  </rv>
  <rv s="0">
    <fb>125.91</fb>
    <v>0</v>
  </rv>
  <rv s="0">
    <fb>80.73</fb>
    <v>0</v>
  </rv>
  <rv s="0">
    <fb>35.032499999999999</fb>
    <v>0</v>
  </rv>
  <rv s="0">
    <fb>0.79</fb>
    <v>2</v>
  </rv>
  <rv s="0">
    <fb>7.24</fb>
    <v>3</v>
  </rv>
  <rv s="0">
    <fb>7.84</fb>
    <v>0</v>
  </rv>
  <rv s="0">
    <fb>149.41</fb>
    <v>0</v>
  </rv>
  <rv s="0">
    <fb>0.3075</fb>
    <v>4</v>
  </rv>
  <rv s="0">
    <fb>105.02</fb>
    <v>0</v>
  </rv>
  <rv s="0">
    <fb>58.19</fb>
    <v>5</v>
  </rv>
  <rv s="0">
    <fb>33.54</fb>
    <v>0</v>
  </rv>
  <rv s="0">
    <fb>8.2200000000000006</fb>
    <v>0</v>
  </rv>
  <rv s="0">
    <fb>93.78</fb>
    <v>0</v>
  </rv>
  <rv s="0">
    <fb>8.9700000000000006</fb>
    <v>0</v>
  </rv>
  <rv s="0">
    <fb>37.182499999999997</fb>
    <v>0</v>
  </rv>
  <rv s="0">
    <fb>144.66999999999999</fb>
    <v>0</v>
  </rv>
  <rv s="0">
    <fb>25.1</fb>
    <v>0</v>
  </rv>
  <rv s="0">
    <fb>1529.7397000000001</fb>
    <v>1</v>
  </rv>
  <rv s="0">
    <fb>133.29</fb>
    <v>0</v>
  </rv>
  <rv s="0">
    <fb>80.040000000000006</fb>
    <v>0</v>
  </rv>
  <rv s="0">
    <fb>36.522500000000001</fb>
    <v>0</v>
  </rv>
  <rv s="0">
    <fb>0.7</fb>
    <v>2</v>
  </rv>
  <rv s="0">
    <fb>9.65</fb>
    <v>3</v>
  </rv>
  <rv s="0">
    <fb>181.66</fb>
    <v>0</v>
  </rv>
  <rv s="0">
    <fb>0.36509999999999998</fb>
    <v>4</v>
  </rv>
  <rv s="0">
    <fb>112.84</fb>
    <v>0</v>
  </rv>
  <rv s="0">
    <fb>54.07</fb>
    <v>5</v>
  </rv>
  <rv s="0">
    <fb>32.25</fb>
    <v>0</v>
  </rv>
  <rv s="0">
    <fb>8.6199999999999992</fb>
    <v>0</v>
  </rv>
  <rv s="0">
    <fb>99.56</fb>
    <v>0</v>
  </rv>
  <rv s="0">
    <fb>9.31</fb>
    <v>0</v>
  </rv>
  <rv s="0">
    <fb>41</fb>
    <v>0</v>
  </rv>
  <rv s="0">
    <fb>143.03</fb>
    <v>0</v>
  </rv>
  <rv s="0">
    <fb>28.05</fb>
    <v>0</v>
  </rv>
  <rv s="0">
    <fb>1548.9308000000001</fb>
    <v>1</v>
  </rv>
  <rv s="0">
    <fb>137.41</fb>
    <v>0</v>
  </rv>
  <rv s="0">
    <fb>76.33</fb>
    <v>0</v>
  </rv>
  <rv s="0">
    <fb>37.627499999999998</fb>
    <v>0</v>
  </rv>
  <rv s="0">
    <fb>0.62</fb>
    <v>2</v>
  </rv>
  <rv s="0">
    <fb>11.8</fb>
    <v>3</v>
  </rv>
  <rv s="0">
    <fb>7.21</fb>
    <v>0</v>
  </rv>
  <rv s="0">
    <fb>174.71</fb>
    <v>0</v>
  </rv>
  <rv s="0">
    <fb>0.33629999999999999</fb>
    <v>4</v>
  </rv>
  <rv s="0">
    <fb>112.98</fb>
    <v>0</v>
  </rv>
  <rv s="0">
    <fb>50.05</fb>
    <v>5</v>
  </rv>
  <rv s="0">
    <fb>31.95</fb>
    <v>0</v>
  </rv>
  <rv s="0">
    <fb>8.3699999999999992</fb>
    <v>0</v>
  </rv>
  <rv s="0">
    <fb>103.52</fb>
    <v>0</v>
  </rv>
  <rv s="0">
    <fb>9.3699999999999992</fb>
    <v>0</v>
  </rv>
  <rv s="0">
    <fb>38.53</fb>
    <v>0</v>
  </rv>
  <rv s="0">
    <fb>145.08000000000001</fb>
    <v>0</v>
  </rv>
  <rv s="0">
    <fb>27.35</fb>
    <v>0</v>
  </rv>
  <rv s="0">
    <fb>1503.4780000000001</fb>
    <v>1</v>
  </rv>
  <rv s="0">
    <fb>116.74</fb>
    <v>0</v>
  </rv>
  <rv s="0">
    <fb>81.98</fb>
    <v>0</v>
  </rv>
  <rv s="0">
    <fb>36.637500000000003</fb>
    <v>0</v>
  </rv>
  <rv s="0">
    <fb>0.48</fb>
    <v>2</v>
  </rv>
  <rv s="0">
    <fb>13.54</fb>
    <v>3</v>
  </rv>
  <rv s="0">
    <fb>7.07</fb>
    <v>0</v>
  </rv>
  <rv s="0">
    <fb>181.35</fb>
    <v>0</v>
  </rv>
  <rv s="0">
    <fb>0.35549999999999998</fb>
    <v>4</v>
  </rv>
  <rv s="0">
    <fb>119.17</fb>
    <v>0</v>
  </rv>
  <rv s="0">
    <fb>47.6</fb>
    <v>5</v>
  </rv>
  <rv s="0">
    <fb>34.5</fb>
    <v>0</v>
  </rv>
  <rv s="0">
    <fb>9.26</fb>
    <v>0</v>
  </rv>
  <rv s="0">
    <fb>105.24</fb>
    <v>0</v>
  </rv>
  <rv s="0">
    <fb>8.56</fb>
    <v>0</v>
  </rv>
  <rv s="0">
    <fb>42.26</fb>
    <v>0</v>
  </rv>
  <rv s="0">
    <fb>154.06</fb>
    <v>0</v>
  </rv>
  <rv s="0">
    <fb>29.05</fb>
    <v>0</v>
  </rv>
  <rv s="0">
    <fb>1371.1597999999999</fb>
    <v>1</v>
  </rv>
  <rv s="0">
    <fb>113.25</fb>
    <v>0</v>
  </rv>
  <rv s="0">
    <fb>83.35</fb>
    <v>0</v>
  </rv>
  <rv s="0">
    <fb>38.767499999999998</fb>
    <v>0</v>
  </rv>
  <rv s="0">
    <fb>0.65</fb>
    <v>2</v>
  </rv>
  <rv s="0">
    <fb>10.9</fb>
    <v>3</v>
  </rv>
  <rv s="0">
    <fb>10.99</fb>
    <v>0</v>
  </rv>
  <rv s="0">
    <fb>196.43</fb>
    <v>0</v>
  </rv>
  <rv s="0">
    <fb>0.36</fb>
    <v>4</v>
  </rv>
  <rv s="0">
    <fb>124</fb>
    <v>0</v>
  </rv>
  <rv s="0">
    <fb>48.11</fb>
    <v>5</v>
  </rv>
  <rv s="0">
    <fb>32.1</fb>
    <v>0</v>
  </rv>
  <rv s="0">
    <fb>8.52</fb>
    <v>0</v>
  </rv>
  <rv s="0">
    <fb>109.98</fb>
    <v>0</v>
  </rv>
  <rv s="0">
    <fb>9.15</fb>
    <v>0</v>
  </rv>
  <rv s="0">
    <fb>42.962499999999999</fb>
    <v>0</v>
  </rv>
  <rv s="0">
    <fb>153.97</fb>
    <v>0</v>
  </rv>
  <rv s="0">
    <fb>27.75</fb>
    <v>0</v>
  </rv>
  <rv s="0">
    <fb>1292.375</fb>
    <v>1</v>
  </rv>
  <rv s="0">
    <fb>98.99</fb>
    <v>0</v>
  </rv>
  <rv s="0">
    <fb>83.29</fb>
    <v>0</v>
  </rv>
  <rv s="0">
    <fb>39.51</fb>
    <v>0</v>
  </rv>
  <rv s="0">
    <fb>0.67</fb>
    <v>2</v>
  </rv>
  <rv s="0">
    <fb>8.5</fb>
    <v>3</v>
  </rv>
  <rv s="0">
    <fb>187.58</fb>
    <v>0</v>
  </rv>
  <rv s="0">
    <fb>0.35</fb>
    <v>4</v>
  </rv>
  <rv s="0">
    <fb>126.34</fb>
    <v>0</v>
  </rv>
  <rv s="0">
    <fb>41.03</fb>
    <v>5</v>
  </rv>
  <rv s="0">
    <fb>30.24</fb>
    <v>0</v>
  </rv>
  <rv s="0">
    <fb>5.89</fb>
    <v>0</v>
  </rv>
  <rv s="0">
    <fb>112.59</fb>
    <v>0</v>
  </rv>
  <rv s="0">
    <fb>9.5399999999999991</fb>
    <v>0</v>
  </rv>
  <rv s="0">
    <fb>42.307499999999997</fb>
    <v>0</v>
  </rv>
  <rv s="0">
    <fb>153.41999999999999</fb>
    <v>0</v>
  </rv>
  <rv s="0">
    <fb>28.4</fb>
    <v>0</v>
  </rv>
  <rv s="0">
    <fb>1335.8077000000001</fb>
    <v>1</v>
  </rv>
  <rv s="0">
    <fb>94.71</fb>
    <v>0</v>
  </rv>
  <rv s="0">
    <fb>83.64</fb>
    <v>0</v>
  </rv>
  <rv s="0">
    <fb>39.047499999999999</fb>
    <v>0</v>
  </rv>
  <rv s="0">
    <fb>0.63</fb>
    <v>2</v>
  </rv>
  <rv s="0">
    <fb>8.68</fb>
    <v>3</v>
  </rv>
  <rv s="0">
    <fb>7.95</fb>
    <v>0</v>
  </rv>
  <rv s="0">
    <fb>191.96</fb>
    <v>0</v>
  </rv>
  <rv s="0">
    <fb>127.17</fb>
    <v>0</v>
  </rv>
  <rv s="0">
    <fb>39.67</fb>
    <v>5</v>
  </rv>
  <rv s="0">
    <fb>31.18</fb>
    <v>0</v>
  </rv>
  <rv s="0">
    <fb>5.97</fb>
    <v>0</v>
  </rv>
  <rv s="0">
    <fb>114.02</fb>
    <v>0</v>
  </rv>
  <rv s="0">
    <fb>9.73</fb>
    <v>0</v>
  </rv>
  <rv s="0">
    <fb>41.857500000000002</fb>
    <v>0</v>
  </rv>
  <rv s="0">
    <fb>163.69999999999999</fb>
    <v>0</v>
  </rv>
  <rv s="0">
    <fb>28.35</fb>
    <v>0</v>
  </rv>
  <rv s="0">
    <fb>1333.6865</fb>
    <v>1</v>
  </rv>
  <rv s="0">
    <fb>90.29</fb>
    <v>0</v>
  </rv>
  <rv s="0">
    <fb>39.604999999999997</fb>
    <v>0</v>
  </rv>
  <rv s="0">
    <fb>0.73</fb>
    <v>2</v>
  </rv>
  <rv s="0">
    <fb>8.77</fb>
    <v>3</v>
  </rv>
  <rv s="0">
    <fb>7.76</fb>
    <v>0</v>
  </rv>
  <rv s="0">
    <fb>270.3</fb>
    <v>0</v>
  </rv>
  <rv s="0">
    <fb>0.55000000000000004</fb>
    <v>4</v>
  </rv>
  <rv s="0">
    <fb>137.91999999999999</fb>
    <v>0</v>
  </rv>
  <rv s="0">
    <fb>43</fb>
    <v>5</v>
  </rv>
  <rv s="0">
    <fb>34.21</fb>
    <v>0</v>
  </rv>
  <rv s="0">
    <fb>6.01</fb>
    <v>0</v>
  </rv>
  <rv s="0">
    <fb>124.23</fb>
    <v>0</v>
  </rv>
  <rv s="0">
    <fb>10.98</fb>
    <v>0</v>
  </rv>
  <rv s="0">
    <fb>44.53</fb>
    <v>0</v>
  </rv>
  <rv s="0">
    <fb>155.83000000000001</fb>
    <v>0</v>
  </rv>
  <rv s="0">
    <fb>26.45</fb>
    <v>0</v>
  </rv>
  <rv s="0">
    <fb>1320.3536999999999</fb>
    <v>1</v>
  </rv>
  <rv s="0">
    <fb>85.16</fb>
    <v>0</v>
  </rv>
  <rv s="0">
    <fb>75.739999999999995</fb>
    <v>0</v>
  </rv>
  <rv s="0">
    <fb>38.037500000000001</fb>
    <v>0</v>
  </rv>
  <rv s="0">
    <fb>8</fb>
    <v>3</v>
  </rv>
  <rv s="0">
    <fb>5.6</fb>
    <v>0</v>
  </rv>
  <rv s="0">
    <fb>291.38</fb>
    <v>0</v>
  </rv>
  <rv s="0">
    <fb>0.66800000000000004</fb>
    <v>4</v>
  </rv>
  <rv s="0">
    <fb>134.6</fb>
    <v>0</v>
  </rv>
  <rv s="0">
    <fb>39.15</fb>
    <v>5</v>
  </rv>
  <rv s="0">
    <fb>32.200000000000003</fb>
    <v>0</v>
  </rv>
  <rv s="0">
    <fb>5.28</fb>
    <v>0</v>
  </rv>
  <rv s="0">
    <fb>122.94</fb>
    <v>0</v>
  </rv>
  <rv s="0">
    <fb>9.5</fb>
    <v>0</v>
  </rv>
  <rv s="0">
    <fb>41.945</fb>
    <v>0</v>
  </rv>
  <rv s="0">
    <fb>153.43</fb>
    <v>0</v>
  </rv>
  <rv s="0">
    <fb>28.55</fb>
    <v>0</v>
  </rv>
  <rv s="0">
    <fb>1408.0271</fb>
    <v>1</v>
  </rv>
  <rv s="0">
    <fb>83.33</fb>
    <v>0</v>
  </rv>
  <rv s="0">
    <fb>74.61</fb>
    <v>0</v>
  </rv>
  <rv s="0">
    <fb>40.832500000000003</fb>
    <v>0</v>
  </rv>
  <rv s="0">
    <fb>7.96</fb>
    <v>3</v>
  </rv>
  <rv s="0">
    <fb>5.5</fb>
    <v>0</v>
  </rv>
  <rv s="0">
    <fb>295.35000000000002</fb>
    <v>0</v>
  </rv>
  <rv s="0">
    <fb>0.70499999999999996</fb>
    <v>4</v>
  </rv>
  <rv s="0">
    <fb>130.37</fb>
    <v>0</v>
  </rv>
  <rv s="0">
    <fb>37</fb>
    <v>5</v>
  </rv>
  <rv s="0">
    <fb>33.26</fb>
    <v>0</v>
  </rv>
  <rv s="0">
    <fb>5.77</fb>
    <v>0</v>
  </rv>
  <rv s="0">
    <fb>119.62</fb>
    <v>0</v>
  </rv>
  <rv s="0">
    <fb>8.85</fb>
    <v>0</v>
  </rv>
  <rv s="0">
    <fb>41.314999999999998</fb>
    <v>0</v>
  </rv>
  <rv s="0">
    <fb>144.96</fb>
    <v>0</v>
  </rv>
  <rv s="0">
    <fb>29.55</fb>
    <v>0</v>
  </rv>
  <rv s="0">
    <fb>1476.1052999999999</fb>
    <v>1</v>
  </rv>
  <rv s="0">
    <fb>61.94</fb>
    <v>0</v>
  </rv>
  <rv s="0">
    <fb>77.75</fb>
    <v>0</v>
  </rv>
  <rv s="0">
    <fb>40.977499999999999</fb>
    <v>0</v>
  </rv>
  <rv s="0">
    <fb>0.53</fb>
    <v>2</v>
  </rv>
  <rv s="0">
    <fb>6.63</fb>
    <v>3</v>
  </rv>
  <rv s="0">
    <fb>5.13</fb>
    <v>0</v>
  </rv>
  <rv s="0">
    <fb>312.45999999999998</fb>
    <v>0</v>
  </rv>
  <rv s="0">
    <fb>0.63800000000000001</fb>
    <v>4</v>
  </rv>
  <rv s="0">
    <fb>130.97999999999999</fb>
    <v>0</v>
  </rv>
  <rv s="0">
    <fb>44.5</fb>
    <v>5</v>
  </rv>
  <rv s="0">
    <fb>34.200000000000003</fb>
    <v>0</v>
  </rv>
  <rv s="0">
    <fb>5.82</fb>
    <v>0</v>
  </rv>
  <rv s="0">
    <fb>126.88</fb>
    <v>0</v>
  </rv>
  <rv s="0">
    <fb>8.51</fb>
    <v>0</v>
  </rv>
  <rv s="0">
    <fb>46.717500000000001</fb>
    <v>0</v>
  </rv>
  <rv s="0">
    <fb>141.31</fb>
    <v>0</v>
  </rv>
  <rv s="0">
    <fb>29.8</fb>
    <v>0</v>
  </rv>
  <rv s="0">
    <fb>1539.3353</fb>
    <v>1</v>
  </rv>
  <rv s="0">
    <fb>68.27</fb>
    <v>0</v>
  </rv>
  <rv s="0">
    <fb>81.239999999999995</fb>
    <v>0</v>
  </rv>
  <rv s="0">
    <fb>41.452500000000001</fb>
    <v>0</v>
  </rv>
  <rv s="0">
    <fb>0.59</fb>
    <v>2</v>
  </rv>
  <rv s="0">
    <fb>6.58</fb>
    <v>3</v>
  </rv>
  <rv s="0">
    <fb>5.92</fb>
    <v>0</v>
  </rv>
  <rv s="0">
    <fb>351.6</fb>
    <v>0</v>
  </rv>
  <rv s="0">
    <fb>0.66400000000000003</fb>
    <v>4</v>
  </rv>
  <rv s="0">
    <fb>127.97</fb>
    <v>0</v>
  </rv>
  <rv s="0">
    <fb>39.9</fb>
    <v>5</v>
  </rv>
  <rv s="0">
    <fb>34.520000000000003</fb>
    <v>0</v>
  </rv>
  <rv s="0">
    <fb>5.1050000000000004</fb>
    <v>0</v>
  </rv>
  <rv s="0">
    <fb>130.72</fb>
    <v>0</v>
  </rv>
  <rv s="0">
    <fb>8.39</fb>
    <v>0</v>
  </rv>
  <rv s="0">
    <fb>46.277500000000003</fb>
    <v>0</v>
  </rv>
  <rv s="0">
    <fb>139.69999999999999</fb>
    <v>0</v>
  </rv>
  <rv s="0">
    <fb>32.5</fb>
    <v>0</v>
  </rv>
  <rv s="0">
    <fb>1545.1936000000001</fb>
    <v>1</v>
  </rv>
  <rv s="0">
    <fb>67</fb>
    <v>0</v>
  </rv>
  <rv s="0">
    <fb>82.73</fb>
    <v>0</v>
  </rv>
  <rv s="0">
    <fb>41.7575</fb>
    <v>0</v>
  </rv>
  <rv s="0">
    <fb>0.5</fb>
    <v>2</v>
  </rv>
  <rv s="0">
    <fb>7.19</fb>
    <v>3</v>
  </rv>
  <rv s="0">
    <fb>8.48</fb>
    <v>0</v>
  </rv>
  <rv s="0">
    <fb>391.43</fb>
    <v>0</v>
  </rv>
  <rv s="0">
    <fb>0.53600000000000003</fb>
    <v>4</v>
  </rv>
  <rv s="0">
    <fb>128.81</fb>
    <v>0</v>
  </rv>
  <rv s="0">
    <fb>32.700000000000003</fb>
    <v>5</v>
  </rv>
  <rv s="0">
    <fb>34.619999999999997</fb>
    <v>0</v>
  </rv>
  <rv s="0">
    <fb>4.8899999999999997</fb>
    <v>0</v>
  </rv>
  <rv s="0">
    <fb>132.44999999999999</fb>
    <v>0</v>
  </rv>
  <rv s="0">
    <fb>8.0299999999999994</fb>
    <v>0</v>
  </rv>
  <rv s="0">
    <fb>47.572499999999998</fb>
    <v>0</v>
  </rv>
  <rv s="0">
    <fb>144.93</fb>
    <v>0</v>
  </rv>
  <rv s="0">
    <fb>31.9</fb>
    <v>0</v>
  </rv>
  <rv s="0">
    <fb>1597.5148999999999</fb>
    <v>1</v>
  </rv>
  <rv s="0">
    <fb>66.540000000000006</fb>
    <v>0</v>
  </rv>
  <rv s="0">
    <fb>81.510000000000005</fb>
    <v>0</v>
  </rv>
  <rv s="0">
    <fb>41.884999999999998</fb>
    <v>0</v>
  </rv>
  <rv s="0">
    <fb>0.54</fb>
    <v>2</v>
  </rv>
  <rv s="0">
    <fb>7</fb>
    <v>3</v>
  </rv>
  <rv s="0">
    <fb>337.45</fb>
    <v>0</v>
  </rv>
  <rv s="0">
    <fb>0.46150000000000002</fb>
    <v>4</v>
  </rv>
  <rv s="0">
    <fb>131.84</fb>
    <v>0</v>
  </rv>
  <rv s="0">
    <fb>32</fb>
    <v>5</v>
  </rv>
  <rv s="0">
    <fb>5.9074999999999998</fb>
    <v>0</v>
  </rv>
  <rv s="0">
    <fb>136.74</fb>
    <v>0</v>
  </rv>
  <rv s="0">
    <fb>8.83</fb>
    <v>0</v>
  </rv>
  <rv s="0">
    <fb>56.907499999999999</fb>
    <v>0</v>
  </rv>
  <rv s="0">
    <fb>146.47999999999999</fb>
    <v>0</v>
  </rv>
  <rv s="0">
    <fb>35</fb>
    <v>0</v>
  </rv>
  <rv s="0">
    <fb>1576.1015</fb>
    <v>1</v>
  </rv>
  <rv s="0">
    <fb>73.91</fb>
    <v>0</v>
  </rv>
  <rv s="0">
    <fb>80.17</fb>
    <v>0</v>
  </rv>
  <rv s="0">
    <fb>42.524999999999999</fb>
    <v>0</v>
  </rv>
  <rv s="0">
    <fb>0.435</fb>
    <v>2</v>
  </rv>
  <rv s="0">
    <fb>6.85</fb>
    <v>3</v>
  </rv>
  <rv s="0">
    <fb>8.1</fb>
    <v>0</v>
  </rv>
  <rv s="0">
    <fb>367.68</fb>
    <v>0</v>
  </rv>
  <rv s="0">
    <fb>0.438</fb>
    <v>4</v>
  </rv>
  <rv s="0">
    <fb>124.08</fb>
    <v>0</v>
  </rv>
  <rv s="0">
    <fb>33</fb>
    <v>5</v>
  </rv>
  <rv s="0">
    <fb>31.885000000000002</fb>
    <v>0</v>
  </rv>
  <rv s="0">
    <fb>5.65</fb>
    <v>0</v>
  </rv>
  <rv s="0">
    <fb>146.88999999999999</fb>
    <v>0</v>
  </rv>
  <rv s="0">
    <fb>9.6300000000000008</fb>
    <v>0</v>
  </rv>
  <rv s="0">
    <fb>56.435000000000002</fb>
    <v>0</v>
  </rv>
  <rv s="0">
    <fb>151.21</fb>
    <v>0</v>
  </rv>
  <rv s="0">
    <fb>33.9</fb>
    <v>0</v>
  </rv>
  <rv s="0">
    <fb>1552.2641000000001</fb>
    <v>1</v>
  </rv>
  <rv s="0">
    <fb>69.08</fb>
    <v>0</v>
  </rv>
  <rv s="0">
    <fb>85.02</fb>
    <v>0</v>
  </rv>
  <rv s="0">
    <fb>41.9</fb>
    <v>0</v>
  </rv>
  <rv s="0">
    <fb>0.44500000000000001</fb>
    <v>2</v>
  </rv>
  <rv s="0">
    <fb>6.39</fb>
    <v>3</v>
  </rv>
  <rv s="0">
    <fb>8.84</fb>
    <v>0</v>
  </rv>
  <rv s="0">
    <fb>374.13</fb>
    <v>0</v>
  </rv>
  <rv s="0">
    <fb>0.40600000000000003</fb>
    <v>4</v>
  </rv>
  <rv s="0">
    <fb>124.35</fb>
    <v>0</v>
  </rv>
  <rv s="0">
    <fb>23.95</fb>
    <v>5</v>
  </rv>
  <rv s="0">
    <fb>32.909999999999997</fb>
    <v>0</v>
  </rv>
  <rv s="0">
    <fb>5.9550000000000001</fb>
    <v>0</v>
  </rv>
  <rv s="0">
    <fb>150.09</fb>
    <v>0</v>
  </rv>
  <rv s="0">
    <fb>8.49</fb>
    <v>0</v>
  </rv>
  <rv s="0">
    <fb>54.715000000000003</fb>
    <v>0</v>
  </rv>
  <rv s="0">
    <fb>115.43</fb>
    <v>0</v>
  </rv>
  <rv s="0">
    <fb>30.59</fb>
    <v>0</v>
  </rv>
  <rv s="0">
    <fb>1526.4065000000001</fb>
    <v>1</v>
  </rv>
  <rv s="0">
    <fb>64.819999999999993</fb>
    <v>0</v>
  </rv>
  <rv s="0">
    <fb>79.680000000000007</fb>
    <v>0</v>
  </rv>
  <rv s="0">
    <fb>43.125</fb>
    <v>0</v>
  </rv>
  <rv s="0">
    <fb>6.15</fb>
    <v>3</v>
  </rv>
  <rv s="0">
    <fb>5.41</fb>
    <v>0</v>
  </rv>
  <rv s="0">
    <fb>301.77999999999997</fb>
    <v>0</v>
  </rv>
  <rv s="0">
    <fb>0.38700000000000001</fb>
    <v>4</v>
  </rv>
  <rv s="0">
    <fb>117.05</fb>
    <v>0</v>
  </rv>
  <rv s="0">
    <fb>25.7</fb>
    <v>5</v>
  </rv>
  <rv s="0">
    <fb>26.95</fb>
    <v>0</v>
  </rv>
  <rv s="0">
    <fb>5.33</fb>
    <v>0</v>
  </rv>
  <rv s="0">
    <fb>137.85</fb>
    <v>0</v>
  </rv>
  <rv s="0">
    <fb>9.49</fb>
    <v>0</v>
  </rv>
  <rv s="0">
    <fb>44.645000000000003</fb>
    <v>0</v>
  </rv>
  <rv s="0">
    <fb>124.27</fb>
    <v>0</v>
  </rv>
  <rv s="0">
    <fb>29.42</fb>
    <v>0</v>
  </rv>
  <rv s="0">
    <fb>1637.9174</fb>
    <v>1</v>
  </rv>
  <rv s="0">
    <fb>64.25</fb>
    <v>0</v>
  </rv>
  <rv s="0">
    <fb>79.5</fb>
    <v>0</v>
  </rv>
  <rv s="0">
    <fb>45.427500000000002</fb>
    <v>0</v>
  </rv>
  <rv s="0">
    <fb>6</fb>
    <v>3</v>
  </rv>
  <rv s="0">
    <fb>6.25</fb>
    <v>0</v>
  </rv>
  <rv s="0">
    <fb>286.13</fb>
    <v>0</v>
  </rv>
  <rv s="0">
    <fb>0.35149999999999998</fb>
    <v>4</v>
  </rv>
  <rv s="0">
    <fb>121.48</fb>
    <v>0</v>
  </rv>
  <rv s="0">
    <fb>26.8</fb>
    <v>5</v>
  </rv>
  <rv s="0">
    <fb>25.12</fb>
    <v>0</v>
  </rv>
  <rv s="0">
    <fb>4.8324999999999996</fb>
    <v>0</v>
  </rv>
  <rv s="0">
    <fb>141.71</fb>
    <v>0</v>
  </rv>
  <rv s="0">
    <fb>10.17</fb>
    <v>0</v>
  </rv>
  <rv s="0">
    <fb>39.435000000000002</fb>
    <v>0</v>
  </rv>
  <rv s="0">
    <fb>113.67</fb>
    <v>0</v>
  </rv>
  <rv s="0">
    <fb>26.46</fb>
    <v>0</v>
  </rv>
  <rv s="0">
    <fb>1506.2052000000001</fb>
    <v>1</v>
  </rv>
  <rv s="0">
    <fb>63.59</fb>
    <v>0</v>
  </rv>
  <rv s="0">
    <fb>68.19</fb>
    <v>0</v>
  </rv>
  <rv s="0">
    <fb>43.454999999999998</fb>
    <v>0</v>
  </rv>
  <rv s="0">
    <fb>0.52</fb>
    <v>2</v>
  </rv>
  <rv s="0">
    <fb>5.85</fb>
    <v>3</v>
  </rv>
  <rv s="0">
    <fb>4.53</fb>
    <v>0</v>
  </rv>
  <rv s="0">
    <fb>267.66000000000003</fb>
    <v>0</v>
  </rv>
  <rv s="0">
    <fb>0.34050000000000002</fb>
    <v>4</v>
  </rv>
  <rv s="0">
    <fb>116.08</fb>
    <v>0</v>
  </rv>
  <rv s="0">
    <fb>25.35</fb>
    <v>5</v>
  </rv>
  <rv s="0">
    <fb>23.42</fb>
    <v>0</v>
  </rv>
  <rv s="0">
    <fb>4.33</fb>
    <v>0</v>
  </rv>
  <rv s="0">
    <fb>131.94</fb>
    <v>0</v>
  </rv>
  <rv s="0">
    <fb>10.29</fb>
    <v>0</v>
  </rv>
  <rv s="0">
    <fb>41.61</fb>
    <v>0</v>
  </rv>
  <rv s="0">
    <fb>134.41999999999999</fb>
    <v>0</v>
  </rv>
  <rv s="0">
    <fb>31.06</fb>
    <v>0</v>
  </rv>
  <rv s="0">
    <fb>1492.0643</fb>
    <v>1</v>
  </rv>
  <rv s="0">
    <fb>80.59</fb>
    <v>0</v>
  </rv>
  <rv s="0">
    <fb>73.28</fb>
    <v>0</v>
  </rv>
  <rv s="0">
    <fb>44.744999999999997</fb>
    <v>0</v>
  </rv>
  <rv s="0">
    <fb>6.6</fb>
    <v>3</v>
  </rv>
  <rv s="0">
    <fb>339.5</fb>
    <v>0</v>
  </rv>
  <rv s="0">
    <fb>0.33250000000000002</fb>
    <v>4</v>
  </rv>
  <rv s="0">
    <fb>123.17</fb>
    <v>0</v>
  </rv>
  <rv s="0">
    <fb>27.85</fb>
    <v>5</v>
  </rv>
  <rv s="0">
    <fb>27.38</fb>
    <v>0</v>
  </rv>
  <rv s="0">
    <fb>4.75</fb>
    <v>0</v>
  </rv>
  <rv s="0">
    <fb>135.01</fb>
    <v>0</v>
  </rv>
  <rv s="0">
    <fb>10.210000000000001</fb>
    <v>0</v>
  </rv>
  <rv s="0">
    <fb>43.287500000000001</fb>
    <v>0</v>
  </rv>
  <rv s="0">
    <fb>138.13</fb>
    <v>0</v>
  </rv>
  <rv s="0">
    <fb>34.54</fb>
    <v>0</v>
  </rv>
  <rv s="0">
    <fb>1512.4675999999999</fb>
    <v>1</v>
  </rv>
  <rv s="0">
    <fb>86.23</fb>
    <v>0</v>
  </rv>
  <rv s="0">
    <fb>79.03</fb>
    <v>0</v>
  </rv>
  <rv s="0">
    <fb>46.93</fb>
    <v>0</v>
  </rv>
  <rv s="0">
    <fb>5.92</fb>
    <v>3</v>
  </rv>
  <rv s="0">
    <fb>5.04</fb>
    <v>0</v>
  </rv>
  <rv s="0">
    <fb>358.1</fb>
    <v>0</v>
  </rv>
  <rv s="0">
    <fb>121.04</fb>
    <v>0</v>
  </rv>
  <rv s="0">
    <fb>26.35</fb>
    <v>5</v>
  </rv>
  <rv s="0">
    <fb>4.9675000000000002</fb>
    <v>0</v>
  </rv>
  <rv s="0">
    <fb>148.12</fb>
    <v>0</v>
  </rv>
  <rv s="0">
    <fb>9.86</fb>
    <v>0</v>
  </rv>
  <rv s="0">
    <fb>47.487499999999997</fb>
    <v>0</v>
  </rv>
  <rv s="0">
    <fb>141.1</fb>
    <v>0</v>
  </rv>
  <rv s="0">
    <fb>36.380000000000003</fb>
    <v>0</v>
  </rv>
  <rv s="0">
    <fb>1612.8678</fb>
    <v>1</v>
  </rv>
  <rv s="0">
    <fb>86.01</fb>
    <v>0</v>
  </rv>
  <rv s="0">
    <fb>80.8</fb>
    <v>0</v>
  </rv>
  <rv s="0">
    <fb>48.33</fb>
    <v>0</v>
  </rv>
  <rv s="0">
    <fb>5.97</fb>
    <v>3</v>
  </rv>
  <rv s="0">
    <fb>6.83</fb>
    <v>0</v>
  </rv>
  <rv s="0">
    <fb>356.56</fb>
    <v>0</v>
  </rv>
  <rv s="0">
    <fb>0.315</fb>
    <v>4</v>
  </rv>
  <rv s="0">
    <fb>118.02</fb>
    <v>0</v>
  </rv>
  <rv s="0">
    <fb>27.55</fb>
    <v>5</v>
  </rv>
  <rv s="0">
    <fb>25.555</fb>
    <v>0</v>
  </rv>
  <rv s="0">
    <fb>5.8</fb>
    <v>0</v>
  </rv>
  <rv s="0">
    <fb>156.19</fb>
    <v>0</v>
  </rv>
  <rv s="0">
    <fb>11.46</fb>
    <v>0</v>
  </rv>
  <rv s="0">
    <fb>50.167499999999997</fb>
    <v>0</v>
  </rv>
  <rv s="0">
    <fb>140.27000000000001</fb>
    <v>0</v>
  </rv>
  <rv s="0">
    <fb>39.979999999999997</fb>
    <v>0</v>
  </rv>
  <rv s="0">
    <fb>1589.2322999999999</fb>
    <v>1</v>
  </rv>
  <rv s="0">
    <fb>76.8</fb>
    <v>0</v>
  </rv>
  <rv s="0">
    <fb>80.28</fb>
    <v>0</v>
  </rv>
  <rv s="0">
    <fb>48.61</fb>
    <v>0</v>
  </rv>
  <rv s="0">
    <fb>6.1</fb>
    <v>3</v>
  </rv>
  <rv s="0">
    <fb>7.59</fb>
    <v>0</v>
  </rv>
  <rv s="0">
    <fb>370.54</fb>
    <v>0</v>
  </rv>
  <rv s="0">
    <fb>0.41199999999999998</fb>
    <v>4</v>
  </rv>
  <rv s="0">
    <fb>123.6</fb>
    <v>0</v>
  </rv>
  <rv s="0">
    <fb>31</fb>
    <v>5</v>
  </rv>
  <rv s="0">
    <fb>25.67</fb>
    <v>0</v>
  </rv>
  <rv s="0">
    <fb>5.72</fb>
    <v>0</v>
  </rv>
  <rv s="0">
    <fb>164.43</fb>
    <v>0</v>
  </rv>
  <rv s="0">
    <fb>11.45</fb>
    <v>0</v>
  </rv>
  <rv s="0">
    <fb>43.767499999999998</fb>
    <v>0</v>
  </rv>
  <rv s="0">
    <fb>126.99</fb>
    <v>0</v>
  </rv>
  <rv s="0">
    <fb>40.1</fb>
    <v>0</v>
  </rv>
  <rv s="0">
    <fb>1542.3653999999999</fb>
    <v>1</v>
  </rv>
  <rv s="0">
    <fb>78.63</fb>
    <v>0</v>
  </rv>
  <rv s="0">
    <fb>70.77</fb>
    <v>0</v>
  </rv>
  <rv s="0">
    <fb>49.552500000000002</fb>
    <v>0</v>
  </rv>
  <rv s="0">
    <fb>5.69</fb>
    <v>3</v>
  </rv>
  <rv s="0">
    <fb>6.98</fb>
    <v>0</v>
  </rv>
  <rv s="0">
    <fb>343.28</fb>
    <v>0</v>
  </rv>
  <rv s="0">
    <fb>0.32519999999999999</fb>
    <v>4</v>
  </rv>
  <rv s="0">
    <fb>117.58</fb>
    <v>0</v>
  </rv>
  <rv s="0">
    <fb>30.6</fb>
    <v>5</v>
  </rv>
  <rv s="0">
    <fb>22.830100000000002</fb>
    <v>0</v>
  </rv>
  <rv s="0">
    <fb>5.3890000000000002</fb>
    <v>0</v>
  </rv>
  <rv s="0">
    <fb>161.33000000000001</fb>
    <v>0</v>
  </rv>
  <rv s="0">
    <fb>12</fb>
    <v>0</v>
  </rv>
  <rv s="0">
    <fb>49.48</fb>
    <v>0</v>
  </rv>
  <rv s="0">
    <fb>137.9</fb>
    <v>0</v>
  </rv>
  <rv s="0">
    <fb>36.950000000000003</fb>
    <v>0</v>
  </rv>
  <rv s="0">
    <fb>1592.4645</fb>
    <v>1</v>
  </rv>
  <rv s="0">
    <fb>84.96</fb>
    <v>0</v>
  </rv>
  <rv s="0">
    <fb>76.63</fb>
    <v>0</v>
  </rv>
  <rv s="0">
    <fb>51.215000000000003</fb>
    <v>0</v>
  </rv>
  <rv s="0">
    <fb>0.55000000000000004</fb>
    <v>2</v>
  </rv>
  <rv s="0">
    <fb>5.89</fb>
    <v>3</v>
  </rv>
  <rv s="0">
    <fb>9.44</fb>
    <v>0</v>
  </rv>
  <rv s="0">
    <fb>367.32</fb>
    <v>0</v>
  </rv>
  <rv s="0">
    <fb>0.38019999999999998</fb>
    <v>4</v>
  </rv>
  <rv s="0">
    <fb>123.99</fb>
    <v>0</v>
  </rv>
  <rv s="0">
    <fb>30.4</fb>
    <v>5</v>
  </rv>
  <rv s="0">
    <fb>25.07</fb>
    <v>0</v>
  </rv>
  <rv s="0">
    <fb>6.298</fb>
    <v>0</v>
  </rv>
  <rv s="0">
    <fb>173.55</fb>
    <v>0</v>
  </rv>
  <rv s="0">
    <fb>12.59</fb>
    <v>0</v>
  </rv>
  <rv s="0">
    <fb>53.26</fb>
    <v>0</v>
  </rv>
  <rv s="0">
    <fb>148.24</fb>
    <v>0</v>
  </rv>
  <rv s="0">
    <fb>36.299999999999997</fb>
    <v>0</v>
  </rv>
  <rv s="0">
    <fb>1719.7324000000001</fb>
    <v>1</v>
  </rv>
  <rv s="0">
    <fb>84.92</fb>
    <v>0</v>
  </rv>
  <rv s="0">
    <fb>74.36</fb>
    <v>0</v>
  </rv>
  <rv s="0">
    <fb>51.792499999999997</fb>
    <v>0</v>
  </rv>
  <rv s="0">
    <fb>0.6</fb>
    <v>2</v>
  </rv>
  <rv s="0">
    <fb>5.6</fb>
    <v>3</v>
  </rv>
  <rv s="0">
    <fb>13.61</fb>
    <v>0</v>
  </rv>
  <rv s="0">
    <fb>322.99</fb>
    <v>0</v>
  </rv>
  <rv s="0">
    <fb>0.40699999999999997</fb>
    <v>4</v>
  </rv>
  <rv s="0">
    <fb>129.05000000000001</fb>
    <v>0</v>
  </rv>
  <rv s="0">
    <fb>26.52</fb>
    <v>0</v>
  </rv>
  <rv s="0">
    <fb>6</fb>
    <v>0</v>
  </rv>
  <rv s="0">
    <fb>178</fb>
    <v>0</v>
  </rv>
  <rv s="0">
    <fb>12.21</fb>
    <v>0</v>
  </rv>
  <rv s="0">
    <fb>52.185000000000002</fb>
    <v>0</v>
  </rv>
  <rv s="0">
    <fb>135.53</fb>
    <v>0</v>
  </rv>
  <rv s="0">
    <fb>35.479999999999997</fb>
    <v>0</v>
  </rv>
  <rv s="0">
    <fb>1728.8230000000001</fb>
    <v>1</v>
  </rv>
  <rv s="0">
    <fb>81.819999999999993</fb>
    <v>0</v>
  </rv>
  <rv s="0">
    <fb>68.48</fb>
    <v>0</v>
  </rv>
  <rv s="0">
    <fb>54.77</fb>
    <v>0</v>
  </rv>
  <rv s="0">
    <fb>5.29</fb>
    <v>3</v>
  </rv>
  <rv s="0">
    <fb>11.23</fb>
    <v>0</v>
  </rv>
  <rv s="0">
    <fb>293.75</fb>
    <v>0</v>
  </rv>
  <rv s="0">
    <fb>0.34760000000000002</fb>
    <v>4</v>
  </rv>
  <rv s="0">
    <fb>130.63</fb>
    <v>0</v>
  </rv>
  <rv s="0">
    <fb>36.5</fb>
    <v>5</v>
  </rv>
  <rv s="0">
    <fb>26.69</fb>
    <v>0</v>
  </rv>
  <rv s="0">
    <fb>6.06</fb>
    <v>0</v>
  </rv>
  <rv s="0">
    <fb>180.82</fb>
    <v>0</v>
  </rv>
  <rv s="0">
    <fb>55.9925</fb>
    <v>0</v>
  </rv>
  <rv s="0">
    <fb>145.41999999999999</fb>
    <v>0</v>
  </rv>
  <rv s="0">
    <fb>40.31</fb>
    <v>0</v>
  </rv>
  <rv s="0">
    <fb>1762.155</fb>
    <v>1</v>
  </rv>
  <rv s="0">
    <fb>74.23</fb>
    <v>0</v>
  </rv>
  <rv s="0">
    <fb>70.61</fb>
    <v>0</v>
  </rv>
  <rv s="0">
    <fb>58.247500000000002</fb>
    <v>0</v>
  </rv>
  <rv s="0">
    <fb>0.495</fb>
    <v>2</v>
  </rv>
  <rv s="0">
    <fb>5.2</fb>
    <v>3</v>
  </rv>
  <rv s="0">
    <fb>10.27</fb>
    <v>0</v>
  </rv>
  <rv s="0">
    <fb>267.62</fb>
    <v>0</v>
  </rv>
  <rv s="0">
    <fb>0.33200000000000002</fb>
    <v>4</v>
  </rv>
  <rv s="0">
    <fb>134.49</fb>
    <v>0</v>
  </rv>
  <rv s="0">
    <fb>36.15</fb>
    <v>5</v>
  </rv>
  <rv s="0">
    <fb>5.8449999999999998</fb>
    <v>0</v>
  </rv>
  <rv s="0">
    <fb>172.01</fb>
    <v>0</v>
  </rv>
  <rv s="0">
    <fb>12.18</fb>
    <v>0</v>
  </rv>
  <rv s="0">
    <fb>62.19</fb>
    <v>0</v>
  </rv>
  <rv s="0">
    <fb>133.72999999999999</fb>
    <v>0</v>
  </rv>
  <rv s="0">
    <fb>38.909999999999997</fb>
    <v>0</v>
  </rv>
  <rv s="0">
    <fb>1786.3965000000001</fb>
    <v>1</v>
  </rv>
  <rv s="0">
    <fb>83.92</fb>
    <v>0</v>
  </rv>
  <rv s="0">
    <fb>67.569999999999993</fb>
    <v>0</v>
  </rv>
  <rv s="0">
    <fb>59.585000000000001</fb>
    <v>0</v>
  </rv>
  <rv s="0">
    <fb>5.12</fb>
    <v>3</v>
  </rv>
  <rv s="0">
    <fb>11.06</fb>
    <v>0</v>
  </rv>
  <rv s="0">
    <fb>287.41000000000003</fb>
    <v>0</v>
  </rv>
  <rv s="0">
    <fb>0.317</fb>
    <v>4</v>
  </rv>
  <rv s="0">
    <fb>138.55000000000001</fb>
    <v>0</v>
  </rv>
  <rv s="0">
    <fb>37.9</fb>
    <v>5</v>
  </rv>
  <rv s="0">
    <fb>30.36</fb>
    <v>0</v>
  </rv>
  <rv s="0">
    <fb>178.86</fb>
    <v>0</v>
  </rv>
  <rv s="0">
    <fb>13.03</fb>
    <v>0</v>
  </rv>
  <rv s="0">
    <fb>66.8125</fb>
    <v>0</v>
  </rv>
  <rv s="0">
    <fb>134.44999999999999</fb>
    <v>0</v>
  </rv>
  <rv s="0">
    <fb>42.83</fb>
    <v>0</v>
  </rv>
  <rv s="0">
    <fb>1771.6496</fb>
    <v>1</v>
  </rv>
  <rv s="0">
    <fb>94.16</fb>
    <v>0</v>
  </rv>
  <rv s="0">
    <fb>68.13</fb>
    <v>0</v>
  </rv>
  <rv s="0">
    <fb>58.454999999999998</fb>
    <v>0</v>
  </rv>
  <rv s="0">
    <fb>5.25</fb>
    <v>3</v>
  </rv>
  <rv s="0">
    <fb>11.17</fb>
    <v>0</v>
  </rv>
  <rv s="0">
    <fb>314.66000000000003</fb>
    <v>0</v>
  </rv>
  <rv s="0">
    <fb>0.31580000000000003</fb>
    <v>4</v>
  </rv>
  <rv s="0">
    <fb>140.21</fb>
    <v>0</v>
  </rv>
  <rv s="0">
    <fb>40.1</fb>
    <v>5</v>
  </rv>
  <rv s="0">
    <fb>29.78</fb>
    <v>0</v>
  </rv>
  <rv s="0">
    <fb>5.7880000000000003</fb>
    <v>0</v>
  </rv>
  <rv s="0">
    <fb>184.51</fb>
    <v>0</v>
  </rv>
  <rv s="0">
    <fb>14.09</fb>
    <v>0</v>
  </rv>
  <rv s="0">
    <fb>73.412499999999994</fb>
    <v>0</v>
  </rv>
  <rv s="0">
    <fb>134.04</fb>
    <v>0</v>
  </rv>
  <rv s="0">
    <fb>42.72</fb>
    <v>0</v>
  </rv>
  <rv s="0">
    <fb>1796.9012</fb>
    <v>1</v>
  </rv>
  <rv s="0">
    <fb>87.32</fb>
    <v>0</v>
  </rv>
  <rv s="0">
    <fb>69.78</fb>
    <v>0</v>
  </rv>
  <rv s="0">
    <fb>60.54</fb>
    <v>0</v>
  </rv>
  <rv s="0">
    <fb>0.46</fb>
    <v>2</v>
  </rv>
  <rv s="0">
    <fb>5.43</fb>
    <v>3</v>
  </rv>
  <rv s="0">
    <fb>10.87</fb>
    <v>0</v>
  </rv>
  <rv s="0">
    <fb>323.57</fb>
    <v>0</v>
  </rv>
  <rv s="0">
    <fb>0.3296</fb>
    <v>4</v>
  </rv>
  <rv s="0">
    <fb>140.54</fb>
    <v>0</v>
  </rv>
  <rv s="0">
    <fb>43.3</fb>
    <v>5</v>
  </rv>
  <rv s="0">
    <fb>30.28</fb>
    <v>0</v>
  </rv>
  <rv s="0">
    <fb>187.9</fb>
    <v>0</v>
  </rv>
  <rv s="0">
    <fb>15.09</fb>
    <v>0</v>
  </rv>
  <rv s="0">
    <fb>77.377499999999998</fb>
    <v>0</v>
  </rv>
  <rv s="0">
    <fb>143.72999999999999</fb>
    <v>0</v>
  </rv>
  <rv s="0">
    <fb>44.81</fb>
    <v>0</v>
  </rv>
  <rv s="0">
    <fb>1801.9514999999999</fb>
    <v>1</v>
  </rv>
  <rv s="0">
    <fb>73.069999999999993</fb>
    <v>0</v>
  </rv>
  <rv s="0">
    <fb>62.12</fb>
    <v>0</v>
  </rv>
  <rv s="0">
    <fb>67.05</fb>
    <v>0</v>
  </rv>
  <rv s="0">
    <fb>0.37</fb>
    <v>2</v>
  </rv>
  <rv s="0">
    <fb>10.3</fb>
    <v>0</v>
  </rv>
  <rv s="0">
    <fb>345.09</fb>
    <v>0</v>
  </rv>
  <rv s="0">
    <fb>0.312</fb>
    <v>4</v>
  </rv>
  <rv s="0">
    <fb>138.84</fb>
    <v>0</v>
  </rv>
  <rv s="0">
    <fb>46.95</fb>
    <v>5</v>
  </rv>
  <rv s="0">
    <fb>33.255000000000003</fb>
    <v>0</v>
  </rv>
  <rv s="0">
    <fb>6.07</fb>
    <v>0</v>
  </rv>
  <rv s="0">
    <fb>198.97</fb>
    <v>0</v>
  </rv>
  <rv s="0">
    <fb>14.58</fb>
    <v>0</v>
  </rv>
  <rv s="0">
    <fb>68.34</fb>
    <v>0</v>
  </rv>
  <rv s="0">
    <fb>130.15</fb>
    <v>0</v>
  </rv>
  <rv s="0">
    <fb>41.32</fb>
    <v>0</v>
  </rv>
  <rv s="0">
    <fb>1577.9195999999999</fb>
    <v>1</v>
  </rv>
  <rv s="0">
    <fb>75.41</fb>
    <v>0</v>
  </rv>
  <rv s="0">
    <fb>51.44</fb>
    <v>0</v>
  </rv>
  <rv s="0">
    <fb>63.19</fb>
    <v>0</v>
  </rv>
  <rv s="0">
    <fb>0.38</fb>
    <v>2</v>
  </rv>
  <rv s="0">
    <fb>4.6500000000000004</fb>
    <v>3</v>
  </rv>
  <rv s="0">
    <fb>13.85</fb>
    <v>0</v>
  </rv>
  <rv s="0">
    <fb>369.03</fb>
    <v>0</v>
  </rv>
  <rv s="0">
    <fb>0.25740000000000002</fb>
    <v>4</v>
  </rv>
  <rv s="0">
    <fb>130.75</fb>
    <v>0</v>
  </rv>
  <rv s="0">
    <fb>31.27</fb>
    <v>0</v>
  </rv>
  <rv s="0">
    <fb>5.03</fb>
    <v>0</v>
  </rv>
  <rv s="0">
    <fb>181.76</fb>
    <v>0</v>
  </rv>
  <rv s="0">
    <fb>13.87</fb>
    <v>0</v>
  </rv>
  <rv s="0">
    <fb>63.572499999999998</fb>
    <v>0</v>
  </rv>
  <rv s="0">
    <fb>110.93</fb>
    <v>0</v>
  </rv>
  <rv s="0">
    <fb>34.39</fb>
    <v>0</v>
  </rv>
  <rv s="0">
    <fb>1529.8407</fb>
    <v>1</v>
  </rv>
  <rv s="0">
    <fb>73.23</fb>
    <v>0</v>
  </rv>
  <rv s="0">
    <fb>37.97</fb>
    <v>0</v>
  </rv>
  <rv s="0">
    <fb>60.155000000000001</fb>
    <v>0</v>
  </rv>
  <rv s="0">
    <fb>0.41</fb>
    <v>2</v>
  </rv>
  <rv s="0">
    <fb>4.9000000000000004</fb>
    <v>3</v>
  </rv>
  <rv s="0">
    <fb>13.59</fb>
    <v>0</v>
  </rv>
  <rv s="0">
    <fb>375.5</fb>
    <v>0</v>
  </rv>
  <rv s="0">
    <fb>0.25159999999999999</fb>
    <v>4</v>
  </rv>
  <rv s="0">
    <fb>119.95</fb>
    <v>0</v>
  </rv>
  <rv s="0">
    <fb>42.15</fb>
    <v>5</v>
  </rv>
  <rv s="0">
    <fb>25.55</fb>
    <v>0</v>
  </rv>
  <rv s="0">
    <fb>3.16</fb>
    <v>0</v>
  </rv>
  <rv s="0">
    <fb>161.12</fb>
    <v>0</v>
  </rv>
  <rv s="0">
    <fb>8.5</fb>
    <v>0</v>
  </rv>
  <rv s="0">
    <fb>73.45</fb>
    <v>0</v>
  </rv>
  <rv s="0">
    <fb>125.56</fb>
    <v>0</v>
  </rv>
  <rv s="0">
    <fb>42.08</fb>
    <v>0</v>
  </rv>
  <rv s="0">
    <fb>1677.7138</fb>
    <v>1</v>
  </rv>
  <rv s="0">
    <fb>97.66</fb>
    <v>0</v>
  </rv>
  <rv s="0">
    <fb>46.47</fb>
    <v>0</v>
  </rv>
  <rv s="0">
    <fb>57.78</fb>
    <v>0</v>
  </rv>
  <rv s="0">
    <fb>0.68</fb>
    <v>2</v>
  </rv>
  <rv s="0">
    <fb>4.3</fb>
    <v>3</v>
  </rv>
  <rv s="0">
    <fb>419.85</fb>
    <v>0</v>
  </rv>
  <rv s="0">
    <fb>123.59</fb>
    <v>0</v>
  </rv>
  <rv s="0">
    <fb>59.5</fb>
    <v>5</v>
  </rv>
  <rv s="0">
    <fb>25.6</fb>
    <v>0</v>
  </rv>
  <rv s="0">
    <fb>3.3460000000000001</fb>
    <v>0</v>
  </rv>
  <rv s="0">
    <fb>178.72</fb>
    <v>0</v>
  </rv>
  <rv s="0">
    <fb>9.76</fb>
    <v>0</v>
  </rv>
  <rv s="0">
    <fb>79.484999999999999</fb>
    <v>0</v>
  </rv>
  <rv s="0">
    <fb>124.9</fb>
    <v>0</v>
  </rv>
  <rv s="0">
    <fb>47.59</fb>
    <v>0</v>
  </rv>
  <rv s="0">
    <fb>1688.6224999999999</fb>
    <v>1</v>
  </rv>
  <rv s="0">
    <fb>101.91</fb>
    <v>0</v>
  </rv>
  <rv s="0">
    <fb>45.47</fb>
    <v>0</v>
  </rv>
  <rv s="0">
    <fb>63.89</fb>
    <v>0</v>
  </rv>
  <rv s="0">
    <fb>1.43</fb>
    <v>2</v>
  </rv>
  <rv s="0">
    <fb>4.5</fb>
    <v>3</v>
  </rv>
  <rv s="0">
    <fb>38.94</fb>
    <v>0</v>
  </rv>
  <rv s="0">
    <fb>419.73</fb>
    <v>0</v>
  </rv>
  <rv s="0">
    <fb>0.28249999999999997</fb>
    <v>4</v>
  </rv>
  <rv s="0">
    <fb>126.01</fb>
    <v>0</v>
  </rv>
  <rv s="0">
    <fb>61.5</fb>
    <v>5</v>
  </rv>
  <rv s="0">
    <fb>24.58</fb>
    <v>0</v>
  </rv>
  <rv s="0">
    <fb>3.0350000000000001</fb>
    <v>0</v>
  </rv>
  <rv s="0">
    <fb>195.24</fb>
    <v>0</v>
  </rv>
  <rv s="0">
    <fb>8.6999999999999993</fb>
    <v>0</v>
  </rv>
  <rv s="0">
    <fb>91.2</fb>
    <v>0</v>
  </rv>
  <rv s="0">
    <fb>120.77</fb>
    <v>0</v>
  </rv>
  <rv s="0">
    <fb>52.9</fb>
    <v>0</v>
  </rv>
  <rv s="0">
    <fb>1653.0682999999999</fb>
    <v>1</v>
  </rv>
  <rv s="0">
    <fb>103.97</fb>
    <v>0</v>
  </rv>
  <rv s="0">
    <fb>44.72</fb>
    <v>0</v>
  </rv>
  <rv s="0">
    <fb>60.042499999999997</fb>
    <v>0</v>
  </rv>
  <rv s="0">
    <fb>2.29</fb>
    <v>2</v>
  </rv>
  <rv s="0">
    <fb>4.01</fb>
    <v>3</v>
  </rv>
  <rv s="0">
    <fb>46.74</fb>
    <v>0</v>
  </rv>
  <rv s="0">
    <fb>455.04</fb>
    <v>0</v>
  </rv>
  <rv s="0">
    <fb>0.28449999999999998</fb>
    <v>4</v>
  </rv>
  <rv s="0">
    <fb>125.63</fb>
    <v>0</v>
  </rv>
  <rv s="0">
    <fb>63.6</fb>
    <v>5</v>
  </rv>
  <rv s="0">
    <fb>24</fb>
    <v>0</v>
  </rv>
  <rv s="0">
    <fb>3.2719999999999998</fb>
    <v>0</v>
  </rv>
  <rv s="0">
    <fb>193.17</fb>
    <v>0</v>
  </rv>
  <rv s="0">
    <fb>9.2899999999999991</fb>
    <v>0</v>
  </rv>
  <rv s="0">
    <fb>106.26</fb>
    <v>0</v>
  </rv>
  <rv s="0">
    <fb>56.33</fb>
    <v>0</v>
  </rv>
  <rv s="0">
    <fb>98.76</fb>
    <v>0</v>
  </rv>
  <rv s="0">
    <fb>70.174999999999997</fb>
    <v>0</v>
  </rv>
  <rv s="0">
    <fb>5.48</fb>
    <v>2</v>
  </rv>
  <rv s="0">
    <fb>4.87</fb>
    <v>3</v>
  </rv>
  <rv s="0">
    <fb>52.23</fb>
    <v>0</v>
  </rv>
  <rv s="0">
    <fb>488.88</fb>
    <v>0</v>
  </rv>
  <rv s="0">
    <fb>0.255</fb>
    <v>4</v>
  </rv>
  <rv s="0">
    <fb>119.34</fb>
    <v>0</v>
  </rv>
  <rv s="0">
    <fb>88.4</fb>
    <v>5</v>
  </rv>
  <rv s="0">
    <fb>25.74</fb>
    <v>0</v>
  </rv>
  <rv s="0">
    <fb>3.13</fb>
    <v>0</v>
  </rv>
  <rv s="0">
    <fb>190.4</fb>
    <v>0</v>
  </rv>
  <rv s="0">
    <fb>9.39</fb>
    <v>0</v>
  </rv>
  <rv s="0">
    <fb>129.04</fb>
    <v>0</v>
  </rv>
  <rv s="0">
    <fb>123.31</fb>
    <v>0</v>
  </rv>
  <rv s="0">
    <fb>60.95</fb>
    <v>0</v>
  </rv>
  <rv s="0">
    <fb>1486.8119999999999</fb>
    <v>1</v>
  </rv>
  <rv s="0">
    <fb>96.35</fb>
    <v>0</v>
  </rv>
  <rv s="0">
    <fb>39.94</fb>
    <v>0</v>
  </rv>
  <rv s="0">
    <fb>69.792500000000004</fb>
    <v>0</v>
  </rv>
  <rv s="0">
    <fb>5.07</fb>
    <v>2</v>
  </rv>
  <rv s="0">
    <fb>4.6399999999999997</fb>
    <v>3</v>
  </rv>
  <rv s="0">
    <fb>48.24</fb>
    <v>0</v>
  </rv>
  <rv s="0">
    <fb>529.55999999999995</fb>
    <v>0</v>
  </rv>
  <rv s="0">
    <fb>0.30099999999999999</fb>
    <v>4</v>
  </rv>
  <rv s="0">
    <fb>132.43</fb>
    <v>0</v>
  </rv>
  <rv s="0">
    <fb>91</fb>
    <v>5</v>
  </rv>
  <rv s="0">
    <fb>27.91</fb>
    <v>0</v>
  </rv>
  <rv s="0">
    <fb>3.35</fb>
    <v>0</v>
  </rv>
  <rv s="0">
    <fb>211.99</fb>
    <v>0</v>
  </rv>
  <rv s="0">
    <fb>10.74</fb>
    <v>0</v>
  </rv>
  <rv s="0">
    <fb>115.81</fb>
    <v>0</v>
  </rv>
  <rv s="0">
    <fb>121.67</fb>
    <v>0</v>
  </rv>
  <rv s="0">
    <fb>56.98</fb>
    <v>0</v>
  </rv>
  <rv s="0">
    <fb>1466.6107999999999</fb>
    <v>1</v>
  </rv>
  <rv s="0">
    <fb>89.74</fb>
    <v>0</v>
  </rv>
  <rv s="0">
    <fb>34.33</fb>
    <v>0</v>
  </rv>
  <rv s="0">
    <fb>69.39</fb>
    <v>0</v>
  </rv>
  <rv s="0">
    <fb>4.04</fb>
    <v>2</v>
  </rv>
  <rv s="0">
    <fb>4.79</fb>
    <v>3</v>
  </rv>
  <rv s="0">
    <fb>42.9</fb>
    <v>0</v>
  </rv>
  <rv s="0">
    <fb>500.03</fb>
    <v>0</v>
  </rv>
  <rv s="0">
    <fb>0.27500000000000002</fb>
    <v>4</v>
  </rv>
  <rv s="0">
    <fb>132.44</fb>
    <v>0</v>
  </rv>
  <rv s="0">
    <fb>90.9</fb>
    <v>5</v>
  </rv>
  <rv s="0">
    <fb>2.84</fb>
    <v>0</v>
  </rv>
  <rv s="0">
    <fb>199.97</fb>
    <v>0</v>
  </rv>
  <rv s="0">
    <fb>9.83</fb>
    <v>0</v>
  </rv>
  <rv s="0">
    <fb>108.86</fb>
    <v>0</v>
  </rv>
  <rv s="0">
    <fb>111.66</fb>
    <v>0</v>
  </rv>
  <rv s="0">
    <fb>1304.7987000000001</fb>
    <v>1</v>
  </rv>
  <rv s="0">
    <fb>86.64</fb>
    <v>0</v>
  </rv>
  <rv s="0">
    <fb>73.209999999999994</fb>
    <v>0</v>
  </rv>
  <rv s="0">
    <fb>3.58</fb>
    <v>2</v>
  </rv>
  <rv s="0">
    <fb>5.55</fb>
    <v>3</v>
  </rv>
  <rv s="0">
    <fb>54.08</fb>
    <v>0</v>
  </rv>
  <rv s="0">
    <fb>475.74</fb>
    <v>0</v>
  </rv>
  <rv s="0">
    <fb>0.3725</fb>
    <v>4</v>
  </rv>
  <rv s="0">
    <fb>131.29</fb>
    <v>0</v>
  </rv>
  <rv s="0">
    <fb>95.4</fb>
    <v>5</v>
  </rv>
  <rv s="0">
    <fb>20.88</fb>
    <v>0</v>
  </rv>
  <rv s="0">
    <fb>2.31</fb>
    <v>0</v>
  </rv>
  <rv s="0">
    <fb>181.71</fb>
    <v>0</v>
  </rv>
  <rv s="0">
    <fb>10.55</fb>
    <v>0</v>
  </rv>
  <rv s="0">
    <fb>119.05</fb>
    <v>0</v>
  </rv>
  <rv s="0">
    <fb>123.52</fb>
    <v>0</v>
  </rv>
  <rv s="0">
    <fb>59.29</fb>
    <v>0</v>
  </rv>
  <rv s="0">
    <fb>1383.7855999999999</fb>
    <v>1</v>
  </rv>
  <rv s="0">
    <fb>84.54</fb>
    <v>0</v>
  </rv>
  <rv s="0">
    <fb>38.130000000000003</fb>
    <v>0</v>
  </rv>
  <rv s="0">
    <fb>73.59</fb>
    <v>0</v>
  </rv>
  <rv s="0">
    <fb>3.71</fb>
    <v>2</v>
  </rv>
  <rv s="0">
    <fb>5.39</fb>
    <v>3</v>
  </rv>
  <rv s="0">
    <fb>91.76</fb>
    <v>0</v>
  </rv>
  <rv s="0">
    <fb>490.7</fb>
    <v>0</v>
  </rv>
  <rv s="0">
    <fb>0.376</fb>
    <v>4</v>
  </rv>
  <rv s="0">
    <fb>134.46</fb>
    <v>0</v>
  </rv>
  <rv s="0">
    <fb>95.5</fb>
    <v>5</v>
  </rv>
  <rv s="0">
    <fb>27.25</fb>
    <v>0</v>
  </rv>
  <rv s="0">
    <fb>3.51</fb>
    <v>0</v>
  </rv>
  <rv s="0">
    <fb>210.35</fb>
    <v>0</v>
  </rv>
  <rv s="0">
    <fb>12.86</fb>
    <v>0</v>
  </rv>
  <rv s="0">
    <fb>132.69</fb>
    <v>0</v>
  </rv>
  <rv s="0">
    <fb>125.88</fb>
    <v>0</v>
  </rv>
  <rv s="0">
    <fb>58.48</fb>
    <v>0</v>
  </rv>
  <rv s="0">
    <fb>1355.5038999999999</fb>
    <v>1</v>
  </rv>
  <rv s="0">
    <fb>86.98</fb>
    <v>0</v>
  </rv>
  <rv s="0">
    <fb>41.22</fb>
    <v>0</v>
  </rv>
  <rv s="0">
    <fb>77.150000000000006</fb>
    <v>0</v>
  </rv>
  <rv s="0">
    <fb>3.61</fb>
    <v>2</v>
  </rv>
  <rv s="0">
    <fb>43.38</fb>
    <v>0</v>
  </rv>
  <rv s="0">
    <fb>540.73</fb>
    <v>0</v>
  </rv>
  <rv s="0">
    <fb>154.57</fb>
    <v>0</v>
  </rv>
  <rv s="0">
    <fb>105</fb>
    <v>5</v>
  </rv>
  <rv s="0">
    <fb>27.15</fb>
    <v>0</v>
  </rv>
  <rv s="0">
    <fb>3.53</fb>
    <v>0</v>
  </rv>
  <rv s="0">
    <fb>218.73</fb>
    <v>0</v>
  </rv>
  <rv s="0">
    <fb>14.86</fb>
    <v>0</v>
  </rv>
  <rv s="0">
    <fb>131.96</fb>
    <v>0</v>
  </rv>
  <rv s="0">
    <fb>119.11</fb>
    <v>0</v>
  </rv>
  <rv s="0">
    <fb>61.06</fb>
    <v>0</v>
  </rv>
  <rv s="0">
    <fb>1370.6548</fb>
    <v>1</v>
  </rv>
  <rv s="0">
    <fb>89.75</fb>
    <v>0</v>
  </rv>
  <rv s="0">
    <fb>44.84</fb>
    <v>0</v>
  </rv>
  <rv s="0">
    <fb>80.87</fb>
    <v>0</v>
  </rv>
  <rv s="0">
    <fb>4.24</fb>
    <v>2</v>
  </rv>
  <rv s="0">
    <fb>5.9</fb>
    <v>3</v>
  </rv>
  <rv s="0">
    <fb>72.459999999999994</fb>
    <v>0</v>
  </rv>
  <rv s="0">
    <fb>532.39</fb>
    <v>0</v>
  </rv>
  <rv s="0">
    <fb>0.373</fb>
    <v>4</v>
  </rv>
  <rv s="0">
    <fb>140.52000000000001</fb>
    <v>0</v>
  </rv>
  <rv s="0">
    <fb>112</fb>
    <v>5</v>
  </rv>
  <rv s="0">
    <fb>25.626000000000001</fb>
    <v>0</v>
  </rv>
  <rv s="0">
    <fb>3.4249999999999998</fb>
    <v>0</v>
  </rv>
  <rv s="0">
    <fb>193.25</fb>
    <v>0</v>
  </rv>
  <rv s="0">
    <fb>15.1</fb>
    <v>0</v>
  </rv>
  <rv s="0">
    <fb>121.26</fb>
    <v>0</v>
  </rv>
  <rv s="0">
    <fb>118.93</fb>
    <v>0</v>
  </rv>
  <rv s="0">
    <fb>58.56</fb>
    <v>0</v>
  </rv>
  <rv s="0">
    <fb>1202.7824000000001</fb>
    <v>1</v>
  </rv>
  <rv s="0">
    <fb>78.66</fb>
    <v>0</v>
  </rv>
  <rv s="0">
    <fb>54.37</fb>
    <v>0</v>
  </rv>
  <rv s="0">
    <fb>73.48</fb>
    <v>0</v>
  </rv>
  <rv s="0">
    <fb>9.34</fb>
    <v>2</v>
  </rv>
  <rv s="0">
    <fb>6.3</fb>
    <v>3</v>
  </rv>
  <rv s="0">
    <fb>52.67</fb>
    <v>0</v>
  </rv>
  <rv s="0">
    <fb>538.85</fb>
    <v>0</v>
  </rv>
  <rv s="0">
    <fb>0.34449999999999997</fb>
    <v>4</v>
  </rv>
  <rv s="0">
    <fb>147.93</fb>
    <v>0</v>
  </rv>
  <rv s="0">
    <fb>123.8</fb>
    <v>5</v>
  </rv>
  <rv s="0">
    <fb>27.3</fb>
    <v>0</v>
  </rv>
  <rv s="0">
    <fb>4</fb>
    <v>0</v>
  </rv>
  <rv s="0">
    <fb>212.39</fb>
    <v>0</v>
  </rv>
  <rv s="0">
    <fb>16.61</fb>
    <v>0</v>
  </rv>
  <rv s="0">
    <fb>122.15</fb>
    <v>0</v>
  </rv>
  <rv s="0">
    <fb>133.26</fb>
    <v>0</v>
  </rv>
  <rv s="0">
    <fb>60.91</fb>
    <v>0</v>
  </rv>
  <rv s="0">
    <fb>1300.9604999999999</fb>
    <v>1</v>
  </rv>
  <rv s="0">
    <fb>81.27</fb>
    <v>0</v>
  </rv>
  <rv s="0">
    <fb>55.83</fb>
    <v>0</v>
  </rv>
  <rv s="0">
    <fb>75.61</fb>
    <v>0</v>
  </rv>
  <rv s="0">
    <fb>8.4600000000000009</fb>
    <v>2</v>
  </rv>
  <rv s="0">
    <fb>5.94</fb>
    <v>3</v>
  </rv>
  <rv s="0">
    <fb>41.3</fb>
    <v>0</v>
  </rv>
  <rv s="0">
    <fb>521.66</fb>
    <v>0</v>
  </rv>
  <rv s="0">
    <fb>0.81599999999999995</fb>
    <v>4</v>
  </rv>
  <rv s="0">
    <fb>156.06</fb>
    <v>0</v>
  </rv>
  <rv s="0">
    <fb>125.8</fb>
    <v>5</v>
  </rv>
  <rv s="0">
    <fb>4.04</fb>
    <v>0</v>
  </rv>
  <rv s="0">
    <fb>211.73</fb>
    <v>0</v>
  </rv>
  <rv s="0">
    <fb>16.03</fb>
    <v>0</v>
  </rv>
  <rv s="0">
    <fb>131.46</fb>
    <v>0</v>
  </rv>
  <rv s="0">
    <fb>141.88</fb>
    <v>0</v>
  </rv>
  <rv s="0">
    <fb>64.06</fb>
    <v>0</v>
  </rv>
  <rv s="0">
    <fb>1353.0797</fb>
    <v>1</v>
  </rv>
  <rv s="0">
    <fb>85.38</fb>
    <v>0</v>
  </rv>
  <rv s="0">
    <fb>57.24</fb>
    <v>0</v>
  </rv>
  <rv s="0">
    <fb>77.510000000000005</fb>
    <v>0</v>
  </rv>
  <rv s="0">
    <fb>6.28</fb>
    <v>2</v>
  </rv>
  <rv s="0">
    <fb>5.87</fb>
    <v>3</v>
  </rv>
  <rv s="0">
    <fb>36.659999999999997</fb>
    <v>0</v>
  </rv>
  <rv s="0">
    <fb>513.47</fb>
    <v>0</v>
  </rv>
  <rv s="0">
    <fb>0.64</fb>
    <v>4</v>
  </rv>
  <rv s="0">
    <fb>150.77000000000001</fb>
    <v>0</v>
  </rv>
  <rv s="0">
    <fb>125</fb>
    <v>5</v>
  </rv>
  <rv s="0">
    <fb>28.15</fb>
    <v>0</v>
  </rv>
  <rv s="0">
    <fb>4.03</fb>
    <v>0</v>
  </rv>
  <rv s="0">
    <fb>233.56</fb>
    <v>0</v>
  </rv>
  <rv s="0">
    <fb>16.3</fb>
    <v>0</v>
  </rv>
  <rv s="0">
    <fb>124.61</fb>
    <v>0</v>
  </rv>
  <rv s="0">
    <fb>143.74</fb>
    <v>0</v>
  </rv>
  <rv s="0">
    <fb>58.44</fb>
    <v>0</v>
  </rv>
  <rv s="0">
    <fb>1357.7260000000001</fb>
    <v>1</v>
  </rv>
  <rv s="0">
    <fb>83.78</fb>
    <v>0</v>
  </rv>
  <rv s="0">
    <fb>58.37</fb>
    <v>0</v>
  </rv>
  <rv s="0">
    <fb>73.22</fb>
    <v>0</v>
  </rv>
  <rv s="0">
    <fb>6.59</fb>
    <v>2</v>
  </rv>
  <rv s="0">
    <fb>6.5</fb>
    <v>3</v>
  </rv>
  <rv s="0">
    <fb>29.22</fb>
    <v>0</v>
  </rv>
  <rv s="0">
    <fb>502.81</fb>
    <v>0</v>
  </rv>
  <rv s="0">
    <fb>0.56000000000000005</fb>
    <v>4</v>
  </rv>
  <rv s="0">
    <fb>165.98</fb>
    <v>0</v>
  </rv>
  <rv s="0">
    <fb>118.2</fb>
    <v>5</v>
  </rv>
  <rv s="0">
    <fb>29.9</fb>
    <v>0</v>
  </rv>
  <rv s="0">
    <fb>4.32</fb>
    <v>0</v>
  </rv>
  <rv s="0">
    <fb>227.3</fb>
    <v>0</v>
  </rv>
  <rv s="0">
    <fb>18.010000000000002</fb>
    <v>0</v>
  </rv>
  <rv s="0">
    <fb>136.96</fb>
    <v>0</v>
  </rv>
  <rv s="0">
    <fb>146.59</fb>
    <v>0</v>
  </rv>
  <rv s="0">
    <fb>69.16</fb>
    <v>0</v>
  </rv>
  <rv s="0">
    <fb>1433.6827000000001</fb>
    <v>1</v>
  </rv>
  <rv s="0">
    <fb>84.13</fb>
    <v>0</v>
  </rv>
  <rv s="0">
    <fb>63.08</fb>
    <v>0</v>
  </rv>
  <rv s="0">
    <fb>6.48</fb>
    <v>2</v>
  </rv>
  <rv s="0">
    <fb>5.88</fb>
    <v>3</v>
  </rv>
  <rv s="0">
    <fb>33.840000000000003</fb>
    <v>0</v>
  </rv>
  <rv s="0">
    <fb>528.21</fb>
    <v>0</v>
  </rv>
  <rv s="0">
    <fb>0.5</fb>
    <v>4</v>
  </rv>
  <rv s="0">
    <fb>174.84</fb>
    <v>0</v>
  </rv>
  <rv s="0">
    <fb>137.80000000000001</fb>
    <v>5</v>
  </rv>
  <rv s="0">
    <fb>29.27</fb>
    <v>0</v>
  </rv>
  <rv s="0">
    <fb>233.82</fb>
    <v>0</v>
  </rv>
  <rv s="0">
    <fb>17.100000000000001</fb>
    <v>0</v>
  </rv>
  <rv s="0">
    <fb>145.86000000000001</fb>
    <v>0</v>
  </rv>
  <rv s="0">
    <fb>140.96</fb>
    <v>0</v>
  </rv>
  <rv s="0">
    <fb>72.66</fb>
    <v>0</v>
  </rv>
  <rv s="0">
    <fb>1432.0666000000001</fb>
    <v>1</v>
  </rv>
  <rv s="0">
    <fb>77.349999999999994</fb>
    <v>0</v>
  </rv>
  <rv s="0">
    <fb>57.57</fb>
    <v>0</v>
  </rv>
  <rv s="0">
    <fb>77.900000000000006</fb>
    <v>0</v>
  </rv>
  <rv s="0">
    <fb>4.5999999999999996</fb>
    <v>2</v>
  </rv>
  <rv s="0">
    <fb>31.31</fb>
    <v>0</v>
  </rv>
  <rv s="0">
    <fb>517.57000000000005</fb>
    <v>0</v>
  </rv>
  <rv s="0">
    <fb>0.36449999999999999</fb>
    <v>4</v>
  </rv>
  <rv s="0">
    <fb>179.84</fb>
    <v>0</v>
  </rv>
  <rv s="0">
    <fb>128.6</fb>
    <v>5</v>
  </rv>
  <rv s="0">
    <fb>32.32</fb>
    <v>0</v>
  </rv>
  <rv s="0">
    <fb>3.8929999999999998</fb>
    <v>0</v>
  </rv>
  <rv s="0">
    <fb>246.39</fb>
    <v>0</v>
  </rv>
  <rv s="0">
    <fb>18.59</fb>
    <v>0</v>
  </rv>
  <rv s="0">
    <fb>151.83000000000001</fb>
    <v>0</v>
  </rv>
  <rv s="0">
    <fb>140.34</fb>
    <v>0</v>
  </rv>
  <rv s="0">
    <fb>78.400000000000006</fb>
    <v>0</v>
  </rv>
  <rv s="0">
    <fb>1476.7113999999999</fb>
    <v>1</v>
  </rv>
  <rv s="0">
    <fb>76.489999999999995</fb>
    <v>0</v>
  </rv>
  <rv s="0">
    <fb>54.52</fb>
    <v>0</v>
  </rv>
  <rv s="0">
    <fb>83.99</fb>
    <v>0</v>
  </rv>
  <rv s="0">
    <fb>5.27</fb>
    <v>2</v>
  </rv>
  <rv s="0">
    <fb>5.8</fb>
    <v>3</v>
  </rv>
  <rv s="0">
    <fb>54.81</fb>
    <v>0</v>
  </rv>
  <rv s="0">
    <fb>569.19000000000005</fb>
    <v>0</v>
  </rv>
  <rv s="0">
    <fb>0.442</fb>
    <v>4</v>
  </rv>
  <rv s="0">
    <fb>174.23</fb>
    <v>0</v>
  </rv>
  <rv s="0">
    <fb>112.4</fb>
    <v>5</v>
  </rv>
  <rv s="0">
    <fb>31.58</fb>
    <v>0</v>
  </rv>
  <rv s="0">
    <fb>4.01</fb>
    <v>0</v>
  </rv>
  <rv s="0">
    <fb>229.1</fb>
    <v>0</v>
  </rv>
  <rv s="0">
    <fb>19.62</fb>
    <v>0</v>
  </rv>
  <rv s="0">
    <fb>141.5</fb>
    <v>0</v>
  </rv>
  <rv s="0">
    <fb>138.93</fb>
    <v>0</v>
  </rv>
  <rv s="0">
    <fb>81.260000000000005</fb>
    <v>0</v>
  </rv>
  <rv s="0">
    <fb>1417.7237</fb>
    <v>1</v>
  </rv>
  <rv s="0">
    <fb>68.78</fb>
    <v>0</v>
  </rv>
  <rv s="0">
    <fb>58.82</fb>
    <v>0</v>
  </rv>
  <rv s="0">
    <fb>78.52</fb>
    <v>0</v>
  </rv>
  <rv s="0">
    <fb>5.12</fb>
    <v>2</v>
  </rv>
  <rv s="0">
    <fb>5.95</fb>
    <v>3</v>
  </rv>
  <rv s="0">
    <fb>47.78</fb>
    <v>0</v>
  </rv>
  <rv s="0">
    <fb>610.34</fb>
    <v>0</v>
  </rv>
  <rv s="0">
    <fb>0.3805</fb>
    <v>4</v>
  </rv>
  <rv s="0">
    <fb>177.75</fb>
    <v>0</v>
  </rv>
  <rv s="0">
    <fb>106.4</fb>
    <v>5</v>
  </rv>
  <rv s="0">
    <fb>30.57</fb>
    <v>0</v>
  </rv>
  <rv s="0">
    <fb>4.05</fb>
    <v>0</v>
  </rv>
  <rv s="0">
    <fb>222.75</fb>
    <v>0</v>
  </rv>
  <rv s="0">
    <fb>18.87</fb>
    <v>0</v>
  </rv>
  <rv s="0">
    <fb>149.80000000000001</fb>
    <v>0</v>
  </rv>
  <rv s="0">
    <fb>125.1</fb>
    <v>0</v>
  </rv>
  <rv s="0">
    <fb>81.77</fb>
    <v>0</v>
  </rv>
  <rv s="0">
    <fb>1523.7802999999999</fb>
    <v>1</v>
  </rv>
  <rv s="0">
    <fb>66.98</fb>
    <v>0</v>
  </rv>
  <rv s="0">
    <fb>64.47</fb>
    <v>0</v>
  </rv>
  <rv s="0">
    <fb>85.33</fb>
    <v>0</v>
  </rv>
  <rv s="0">
    <fb>4.53</fb>
    <v>2</v>
  </rv>
  <rv s="0">
    <fb>6.05</fb>
    <v>3</v>
  </rv>
  <rv s="0">
    <fb>44.95</fb>
    <v>0</v>
  </rv>
  <rv s="0">
    <fb>690.31</fb>
    <v>0</v>
  </rv>
  <rv s="0">
    <fb>176.57</fb>
    <v>0</v>
  </rv>
  <rv s="0">
    <fb>122</fb>
    <v>5</v>
  </rv>
  <rv s="0">
    <fb>30.66</fb>
    <v>0</v>
  </rv>
  <rv s="0">
    <fb>3.625</fb>
    <v>0</v>
  </rv>
  <rv s="0">
    <fb>211.77</fb>
    <v>0</v>
  </rv>
  <rv s="0">
    <fb>21.15</fb>
    <v>0</v>
  </rv>
  <rv s="0">
    <fb>165.3</fb>
    <v>0</v>
  </rv>
  <rv s="0">
    <fb>117.1</fb>
    <v>0</v>
  </rv>
  <rv s="0">
    <fb>80.36</fb>
    <v>0</v>
  </rv>
  <rv s="0">
    <fb>1540.3453</fb>
    <v>1</v>
  </rv>
  <rv s="0">
    <fb>67.72</fb>
    <v>0</v>
  </rv>
  <rv s="0">
    <fb>59.84</fb>
    <v>0</v>
  </rv>
  <rv s="0">
    <fb>86.78</fb>
    <v>0</v>
  </rv>
  <rv s="0">
    <fb>4.17</fb>
    <v>2</v>
  </rv>
  <rv s="0">
    <fb>6.01</fb>
    <v>3</v>
  </rv>
  <rv s="0">
    <fb>39.75</fb>
    <v>0</v>
  </rv>
  <rv s="0">
    <fb>641.9</fb>
    <v>0</v>
  </rv>
  <rv s="0">
    <fb>0.41</fb>
    <v>4</v>
  </rv>
  <rv s="0">
    <fb>177.85</fb>
    <v>0</v>
  </rv>
  <rv s="0">
    <fb>123.4</fb>
    <v>5</v>
  </rv>
  <rv s="0">
    <fb>29.43</fb>
    <v>0</v>
  </rv>
  <rv s="0">
    <fb>3.355</fb>
    <v>0</v>
  </rv>
  <rv s="0">
    <fb>193.77</fb>
    <v>0</v>
  </rv>
  <rv s="0">
    <fb>18.46</fb>
    <v>0</v>
  </rv>
  <rv s="0">
    <fb>177.57</fb>
    <v>0</v>
  </rv>
  <rv s="0">
    <fb>133.66</fb>
    <v>0</v>
  </rv>
  <rv s="0">
    <fb>82.68</fb>
    <v>0</v>
  </rv>
  <rv s="0">
    <fb>1622.7664</fb>
    <v>1</v>
  </rv>
  <rv s="0">
    <fb>73.400000000000006</fb>
    <v>0</v>
  </rv>
  <rv s="0">
    <fb>61.19</fb>
    <v>0</v>
  </rv>
  <rv s="0">
    <fb>93.36</fb>
    <v>0</v>
  </rv>
  <rv s="0">
    <fb>3.33</fb>
    <v>2</v>
  </rv>
  <rv s="0">
    <fb>37.01</fb>
    <v>0</v>
  </rv>
  <rv s="0">
    <fb>602.44000000000005</fb>
    <v>0</v>
  </rv>
  <rv s="0">
    <fb>0.3785</fb>
    <v>4</v>
  </rv>
  <rv s="0">
    <fb>185.3</fb>
    <v>0</v>
  </rv>
  <rv s="0">
    <fb>116.8</fb>
    <v>5</v>
  </rv>
  <rv s="0">
    <fb>29.785</fb>
    <v>0</v>
  </rv>
  <rv s="0">
    <fb>3.5449999999999999</fb>
    <v>0</v>
  </rv>
  <rv s="0">
    <fb>216.71</fb>
    <v>0</v>
  </rv>
  <rv s="0">
    <fb>19.79</fb>
    <v>0</v>
  </rv>
  <rv s="0">
    <fb>174.78</fb>
    <v>0</v>
  </rv>
  <rv s="0">
    <fb>133.57</fb>
    <v>0</v>
  </rv>
  <rv s="0">
    <fb>72.77</fb>
    <v>0</v>
  </rv>
  <rv s="0">
    <fb>74.33</fb>
    <v>0</v>
  </rv>
  <rv s="0">
    <fb>75.959999999999994</fb>
    <v>0</v>
  </rv>
  <rv s="0">
    <fb>78.12</fb>
    <v>0</v>
  </rv>
  <rv s="0">
    <fb>3.48</fb>
    <v>2</v>
  </rv>
  <rv s="0">
    <fb>6.09</fb>
    <v>3</v>
  </rv>
  <rv s="0">
    <fb>26.13</fb>
    <v>0</v>
  </rv>
  <rv s="0">
    <fb>427.14</fb>
    <v>0</v>
  </rv>
  <rv s="0">
    <fb>0.3145</fb>
    <v>4</v>
  </rv>
  <rv s="0">
    <fb>198.45</fb>
    <v>0</v>
  </rv>
  <rv s="0">
    <fb>108.2</fb>
    <v>5</v>
  </rv>
  <rv s="0">
    <fb>3.5750000000000002</fb>
    <v>0</v>
  </rv>
  <rv s="0">
    <fb>226.17</fb>
    <v>0</v>
  </rv>
  <rv s="0">
    <fb>21.73</fb>
    <v>0</v>
  </rv>
  <rv s="0">
    <fb>165.12</fb>
    <v>0</v>
  </rv>
  <rv s="0">
    <fb>122.51</fb>
    <v>0</v>
  </rv>
  <rv s="0">
    <fb>71.260000000000005</fb>
    <v>0</v>
  </rv>
  <rv s="0">
    <fb>1560.9505999999999</fb>
    <v>1</v>
  </rv>
  <rv s="0">
    <fb>68.3</fb>
    <v>0</v>
  </rv>
  <rv s="0">
    <fb>78.42</fb>
    <v>0</v>
  </rv>
  <rv s="0">
    <fb>78.27</fb>
    <v>0</v>
  </rv>
  <rv s="0">
    <fb>2.62</fb>
    <v>2</v>
  </rv>
  <rv s="0">
    <fb>6.11</fb>
    <v>3</v>
  </rv>
  <rv s="0">
    <fb>23.97</fb>
    <v>0</v>
  </rv>
  <rv s="0">
    <fb>394.52</fb>
    <v>0</v>
  </rv>
  <rv s="0">
    <fb>0.23400000000000001</fb>
    <v>4</v>
  </rv>
  <rv s="0">
    <fb>182.95</fb>
    <v>0</v>
  </rv>
  <rv s="0">
    <fb>96.8</fb>
    <v>5</v>
  </rv>
  <rv s="0">
    <fb>38.81</fb>
    <v>0</v>
  </rv>
  <rv s="0">
    <fb>4.41</fb>
    <v>0</v>
  </rv>
  <rv s="0">
    <fb>216.12</fb>
    <v>0</v>
  </rv>
  <rv s="0">
    <fb>19.47</fb>
    <v>0</v>
  </rv>
  <rv s="0">
    <fb>174.61</fb>
    <v>0</v>
  </rv>
  <rv s="0">
    <fb>130.02000000000001</fb>
    <v>0</v>
  </rv>
  <rv s="0">
    <fb>73.260000000000005</fb>
    <v>0</v>
  </rv>
  <rv s="0">
    <fb>1663.7750000000001</fb>
    <v>1</v>
  </rv>
  <rv s="0">
    <fb>79.42</fb>
    <v>0</v>
  </rv>
  <rv s="0">
    <fb>82.59</fb>
    <v>0</v>
  </rv>
  <rv s="0">
    <fb>84.71</fb>
    <v>0</v>
  </rv>
  <rv s="0">
    <fb>3.13</fb>
    <v>2</v>
  </rv>
  <rv s="0">
    <fb>6.24</fb>
    <v>3</v>
  </rv>
  <rv s="0">
    <fb>26.96</fb>
    <v>0</v>
  </rv>
  <rv s="0">
    <fb>374.59</fb>
    <v>0</v>
  </rv>
  <rv s="0">
    <fb>0.17899999999999999</fb>
    <v>4</v>
  </rv>
  <rv s="0">
    <fb>180.25</fb>
    <v>0</v>
  </rv>
  <rv s="0">
    <fb>102.4</fb>
    <v>5</v>
  </rv>
  <rv s="0">
    <fb>37.67</fb>
    <v>0</v>
  </rv>
  <rv s="0">
    <fb>5.12</fb>
    <v>0</v>
  </rv>
  <rv s="0">
    <fb>221.77</fb>
    <v>0</v>
  </rv>
  <rv s="0">
    <fb>18.940000000000001</fb>
    <v>0</v>
  </rv>
  <rv s="0">
    <fb>157.65</fb>
    <v>0</v>
  </rv>
  <rv s="0">
    <fb>132.21</fb>
    <v>0</v>
  </rv>
  <rv s="0">
    <fb>62.15</fb>
    <v>0</v>
  </rv>
  <rv s="0">
    <fb>1815.0823</fb>
    <v>1</v>
  </rv>
  <rv s="0">
    <fb>74.959999999999994</fb>
    <v>0</v>
  </rv>
  <rv s="0">
    <fb>85.25</fb>
    <v>0</v>
  </rv>
  <rv s="0">
    <fb>71.02</fb>
    <v>0</v>
  </rv>
  <rv s="0">
    <fb>2.91</fb>
    <v>2</v>
  </rv>
  <rv s="0">
    <fb>6.32</fb>
    <v>3</v>
  </rv>
  <rv s="0">
    <fb>19.38</fb>
    <v>0</v>
  </rv>
  <rv s="0">
    <fb>190.36</fb>
    <v>0</v>
  </rv>
  <rv s="0">
    <fb>0.1696</fb>
    <v>4</v>
  </rv>
  <rv s="0">
    <fb>171</fb>
    <v>0</v>
  </rv>
  <rv s="0">
    <fb>95</fb>
    <v>5</v>
  </rv>
  <rv s="0">
    <fb>37.090000000000003</fb>
    <v>0</v>
  </rv>
  <rv s="0">
    <fb>5.0999999999999996</fb>
    <v>0</v>
  </rv>
  <rv s="0">
    <fb>213.13</fb>
    <v>0</v>
  </rv>
  <rv s="0">
    <fb>19.04</fb>
    <v>0</v>
  </rv>
  <rv s="0">
    <fb>148.84</fb>
    <v>0</v>
  </rv>
  <rv s="0">
    <fb>59.35</fb>
    <v>0</v>
  </rv>
  <rv s="0">
    <fb>1750.0343</fb>
    <v>1</v>
  </rv>
  <rv s="0">
    <fb>75.89</fb>
    <v>0</v>
  </rv>
  <rv s="0">
    <fb>96</fb>
    <v>0</v>
  </rv>
  <rv s="0">
    <fb>75.69</fb>
    <v>0</v>
  </rv>
  <rv s="0">
    <fb>3.35</fb>
    <v>2</v>
  </rv>
  <rv s="0">
    <fb>6.18</fb>
    <v>3</v>
  </rv>
  <rv s="0">
    <fb>19.88</fb>
    <v>0</v>
  </rv>
  <rv s="0">
    <fb>197.44</fb>
    <v>0</v>
  </rv>
  <rv s="0">
    <fb>0.16400000000000001</fb>
    <v>4</v>
  </rv>
  <rv s="0">
    <fb>166.37</fb>
    <v>0</v>
  </rv>
  <rv s="0">
    <fb>93.5</fb>
    <v>5</v>
  </rv>
  <rv s="0">
    <fb>38.15</fb>
    <v>0</v>
  </rv>
  <rv s="0">
    <fb>5.26</fb>
    <v>0</v>
  </rv>
  <rv s="0">
    <fb>212.17</fb>
    <v>0</v>
  </rv>
  <rv s="0">
    <fb>19.25</fb>
    <v>0</v>
  </rv>
  <rv s="0">
    <fb>136.72</fb>
    <v>0</v>
  </rv>
  <rv s="0">
    <fb>141.19</fb>
    <v>0</v>
  </rv>
  <rv s="0">
    <fb>62.06</fb>
    <v>0</v>
  </rv>
  <rv s="0">
    <fb>1783.3664000000001</fb>
    <v>1</v>
  </rv>
  <rv s="0">
    <fb>75.97</fb>
    <v>0</v>
  </rv>
  <rv s="0">
    <fb>85.64</fb>
    <v>0</v>
  </rv>
  <rv s="0">
    <fb>77.459999999999994</fb>
    <v>0</v>
  </rv>
  <rv s="0">
    <fb>2.4900000000000002</fb>
    <v>2</v>
  </rv>
  <rv s="0">
    <fb>5.91</fb>
    <v>3</v>
  </rv>
  <rv s="0">
    <fb>15.74</fb>
    <v>0</v>
  </rv>
  <rv s="0">
    <fb>174.87</fb>
    <v>0</v>
  </rv>
  <rv s="0">
    <fb>0.1416</fb>
    <v>4</v>
  </rv>
  <rv s="0">
    <fb>154.16999999999999</fb>
    <v>0</v>
  </rv>
  <rv s="0">
    <fb>98.5</fb>
    <v>5</v>
  </rv>
  <rv s="0">
    <fb>40.6</fb>
    <v>0</v>
  </rv>
  <rv s="0">
    <fb>196.89</fb>
    <v>0</v>
  </rv>
  <rv s="0">
    <fb>17.739999999999998</fb>
    <v>0</v>
  </rv>
  <rv s="0">
    <fb>162.51</fb>
    <v>0</v>
  </rv>
  <rv s="0">
    <fb>130.79</fb>
    <v>0</v>
  </rv>
  <rv s="0">
    <fb>69.040000000000006</fb>
    <v>0</v>
  </rv>
  <rv s="0">
    <fb>1727.6</fb>
    <v>1</v>
  </rv>
  <rv s="0">
    <fb>77.680000000000007</fb>
    <v>0</v>
  </rv>
  <rv s="0">
    <fb>96.93</fb>
    <v>0</v>
  </rv>
  <rv s="0">
    <fb>84.49</fb>
    <v>0</v>
  </rv>
  <rv s="0">
    <fb>1.92</fb>
    <v>2</v>
  </rv>
  <rv s="0">
    <fb>17.55</fb>
    <v>0</v>
  </rv>
  <rv s="0">
    <fb>224.9</fb>
    <v>0</v>
  </rv>
  <rv s="0">
    <fb>0.1331</fb>
    <v>4</v>
  </rv>
  <rv s="0">
    <fb>162.59</fb>
    <v>0</v>
  </rv>
  <rv s="0">
    <fb>99.4</fb>
    <v>5</v>
  </rv>
  <rv s="0">
    <fb>37.669899999999998</fb>
    <v>0</v>
  </rv>
  <rv s="0">
    <fb>4.7045000000000003</fb>
    <v>0</v>
  </rv>
  <rv s="0">
    <fb>212.11</fb>
    <v>0</v>
  </rv>
  <rv s="0">
    <fb>20.78</fb>
    <v>0</v>
  </rv>
  <rv s="0">
    <fb>157.22</fb>
    <v>0</v>
  </rv>
  <rv s="0">
    <fb>128.44999999999999</fb>
    <v>0</v>
  </rv>
  <rv s="0">
    <fb>70.400000000000006</fb>
    <v>0</v>
  </rv>
  <rv s="0">
    <fb>1379.4</fb>
    <v>1</v>
  </rv>
  <rv s="0">
    <fb>70.430000000000007</fb>
    <v>0</v>
  </rv>
  <rv s="0">
    <fb>95.59</fb>
    <v>0</v>
  </rv>
  <rv s="0">
    <fb>85.06</fb>
    <v>0</v>
  </rv>
  <rv s="0">
    <fb>1.86</fb>
    <v>2</v>
  </rv>
  <rv s="0">
    <fb>14.04</fb>
    <v>0</v>
  </rv>
  <rv s="0">
    <fb>223.56</fb>
    <v>0</v>
  </rv>
  <rv s="0">
    <fb>0.127</fb>
    <v>4</v>
  </rv>
  <rv s="0">
    <fb>149.37</fb>
    <v>0</v>
  </rv>
  <rv s="0">
    <fb>104.2</fb>
    <v>5</v>
  </rv>
  <rv s="0">
    <fb>36.1</fb>
    <v>0</v>
  </rv>
  <rv s="0">
    <fb>4.12</fb>
    <v>0</v>
  </rv>
  <rv s="0">
    <fb>198.71</fb>
    <v>0</v>
  </rv>
  <rv s="0">
    <fb>21.84</fb>
    <v>0</v>
  </rv>
  <rv s="0">
    <fb>138.19999999999999</fb>
    <v>0</v>
  </rv>
  <rv s="0">
    <fb>118.81</fb>
    <v>0</v>
  </rv>
  <rv s="0">
    <fb>63.53</fb>
    <v>0</v>
  </rv>
  <rv s="0">
    <fb>1305.8</fb>
    <v>1</v>
  </rv>
  <rv s="0">
    <fb>66.64</fb>
    <v>0</v>
  </rv>
  <rv s="0">
    <fb>87.31</fb>
    <v>0</v>
  </rv>
  <rv s="0">
    <fb>78.41</fb>
    <v>0</v>
  </rv>
  <rv s="0">
    <fb>1.71</fb>
    <v>2</v>
  </rv>
  <rv s="0">
    <fb>5.4</fb>
    <v>3</v>
  </rv>
  <rv s="0">
    <fb>14.82</fb>
    <v>0</v>
  </rv>
  <rv s="0">
    <fb>235.44</fb>
    <v>0</v>
  </rv>
  <rv s="0">
    <fb>0.19</fb>
    <v>4</v>
  </rv>
  <rv s="0">
    <fb>130.29</fb>
    <v>0</v>
  </rv>
  <rv s="0">
    <fb>108.8</fb>
    <v>5</v>
  </rv>
  <rv s="0">
    <fb>35.24</fb>
    <v>0</v>
  </rv>
  <rv s="0">
    <fb>3.55</fb>
    <v>0</v>
  </rv>
  <rv s="0">
    <fb>177.65</fb>
    <v>0</v>
  </rv>
  <rv s="0">
    <fb>20.97</fb>
    <v>0</v>
  </rv>
  <rv s="0">
    <fb>153.34</fb>
    <v>0</v>
  </rv>
  <rv s="0">
    <fb>138.29</fb>
    <v>0</v>
  </rv>
  <rv s="0">
    <fb>69.069999999999993</fb>
    <v>0</v>
  </rv>
  <rv s="0">
    <fb>1428.8</fb>
    <v>1</v>
  </rv>
  <rv s="0">
    <fb>74.34</fb>
    <v>0</v>
  </rv>
  <rv s="0">
    <fb>110.81</fb>
    <v>0</v>
  </rv>
  <rv s="0">
    <fb>77.5</fb>
    <v>0</v>
  </rv>
  <rv s="0">
    <fb>1.1000000000000001</fb>
    <v>2</v>
  </rv>
  <rv s="0">
    <fb>5.45</fb>
    <v>3</v>
  </rv>
  <rv s="0">
    <fb>17.7</fb>
    <v>0</v>
  </rv>
  <rv s="0">
    <fb>291.88</fb>
    <v>0</v>
  </rv>
  <rv s="0">
    <fb>138.81</fb>
    <v>0</v>
  </rv>
  <rv s="0">
    <fb>111</fb>
    <v>5</v>
  </rv>
  <rv s="0">
    <fb>37.340000000000003</fb>
    <v>0</v>
  </rv>
  <rv s="0">
    <fb>4.0199999999999996</fb>
    <v>0</v>
  </rv>
  <rv s="0">
    <fb>207.16</fb>
    <v>0</v>
  </rv>
  <rv s="0">
    <fb>22.04</fb>
    <v>0</v>
  </rv>
  <rv s="0">
    <fb>148.03</fb>
    <v>0</v>
  </rv>
  <rv s="0">
    <fb>148.9</fb>
    <v>0</v>
  </rv>
  <rv s="0">
    <fb>69.45</fb>
    <v>0</v>
  </rv>
  <rv s="0">
    <fb>1406.8</fb>
    <v>1</v>
  </rv>
  <rv s="0">
    <fb>79.67</fb>
    <v>0</v>
  </rv>
  <rv s="0">
    <fb>111.34</fb>
    <v>0</v>
  </rv>
  <rv s="0">
    <fb>84.7</fb>
    <v>0</v>
  </rv>
  <rv s="0">
    <fb>0.97</fb>
    <v>2</v>
  </rv>
  <rv s="0">
    <fb>5.28</fb>
    <v>3</v>
  </rv>
  <rv s="0">
    <fb>18.440000000000001</fb>
    <v>0</v>
  </rv>
  <rv s="0">
    <fb>305.52999999999997</fb>
    <v>0</v>
  </rv>
  <rv s="0">
    <fb>0.22</fb>
    <v>4</v>
  </rv>
  <rv s="0">
    <fb>147.69</fb>
    <v>0</v>
  </rv>
  <rv s="0">
    <fb>109.4</fb>
    <v>5</v>
  </rv>
  <rv s="0">
    <fb>40.04</fb>
    <v>0</v>
  </rv>
  <rv s="0">
    <fb>3.97</fb>
    <v>0</v>
  </rv>
  <rv s="0">
    <fb>217</fb>
    <v>0</v>
  </rv>
  <rv s="0">
    <fb>23.72</fb>
    <v>0</v>
  </rv>
  <rv s="0">
    <fb>129.93</fb>
    <v>0</v>
  </rv>
  <rv s="0">
    <fb>140.88999999999999</fb>
    <v>0</v>
  </rv>
  <rv s="0">
    <fb>69.650000000000006</fb>
    <v>0</v>
  </rv>
  <rv s="0">
    <fb>1437.6</fb>
    <v>1</v>
  </rv>
  <rv s="0">
    <fb>80.319999999999993</fb>
    <v>0</v>
  </rv>
  <rv s="0">
    <fb>110.3</fb>
    <v>0</v>
  </rv>
  <rv s="0">
    <fb>83.6</fb>
    <v>0</v>
  </rv>
  <rv s="0">
    <fb>1.03</fb>
    <v>2</v>
  </rv>
  <rv s="0">
    <fb>5.37</fb>
    <v>3</v>
  </rv>
  <rv s="0">
    <fb>16.96</fb>
    <v>0</v>
  </rv>
  <rv s="0">
    <fb>294.88</fb>
    <v>0</v>
  </rv>
  <rv s="0">
    <fb>0.18659999999999999</fb>
    <v>4</v>
  </rv>
  <rv s="0">
    <fb>136.58000000000001</fb>
    <v>0</v>
  </rv>
  <rv s="0">
    <fb>107</fb>
    <v>5</v>
  </rv>
  <rv s="0">
    <fb>42.145000000000003</fb>
    <v>0</v>
  </rv>
  <rv s="0">
    <fb>4.2649999999999997</fb>
    <v>0</v>
  </rv>
  <rv s="0">
    <fb>207.76</fb>
    <v>0</v>
  </rv>
  <rv s="0">
    <fb>21.89</fb>
    <v>0</v>
  </rv>
  <rv s="0">
    <fb>144.29</fb>
    <v>0</v>
  </rv>
  <rv s="0">
    <fb>134.72999999999999</fb>
    <v>0</v>
  </rv>
  <rv s="0">
    <fb>73.02</fb>
    <v>0</v>
  </rv>
  <rv s="0">
    <fb>1423.4</fb>
    <v>1</v>
  </rv>
  <rv s="0">
    <fb>85.14</fb>
    <v>0</v>
  </rv>
  <rv s="0">
    <fb>116.01</fb>
    <v>0</v>
  </rv>
  <rv s="0">
    <fb>74.63</fb>
    <v>0</v>
  </rv>
  <rv s="0">
    <fb>1.47</fb>
    <v>2</v>
  </rv>
  <rv s="0">
    <fb>5</fb>
    <v>3</v>
  </rv>
  <rv s="0">
    <fb>21.13</fb>
    <v>0</v>
  </rv>
  <rv s="0">
    <fb>353.86</fb>
    <v>0</v>
  </rv>
  <rv s="0">
    <fb>0.17799999999999999</fb>
    <v>4</v>
  </rv>
  <rv s="0">
    <fb>147.11000000000001</fb>
    <v>0</v>
  </rv>
  <rv s="0">
    <fb>126</fb>
    <v>5</v>
  </rv>
  <rv s="0">
    <fb>42.73</fb>
    <v>0</v>
  </rv>
  <rv s="0">
    <fb>230.21</fb>
    <v>0</v>
  </rv>
  <rv s="0">
    <fb>20.83</fb>
    <v>0</v>
  </rv>
  <rv s="0">
    <fb>147.41</fb>
    <v>0</v>
  </rv>
  <rv s="0">
    <fb>129.30000000000001</fb>
    <v>0</v>
  </rv>
  <rv s="0">
    <fb>73.680000000000007</fb>
    <v>0</v>
  </rv>
  <rv s="0">
    <fb>1425.4</fb>
    <v>1</v>
  </rv>
  <rv s="0">
    <fb>76.98</fb>
    <v>0</v>
  </rv>
  <rv s="0">
    <fb>109.91</fb>
    <v>0</v>
  </rv>
  <rv s="0">
    <fb>71.03</fb>
    <v>0</v>
  </rv>
  <rv s="0">
    <fb>1.07</fb>
    <v>2</v>
  </rv>
  <rv s="0">
    <fb>5.0999999999999996</fb>
    <v>3</v>
  </rv>
  <rv s="0">
    <fb>16.25</fb>
    <v>0</v>
  </rv>
  <rv s="0">
    <fb>322.13</fb>
    <v>0</v>
  </rv>
  <rv s="0">
    <fb>0.152</fb>
    <v>4</v>
  </rv>
  <rv s="0">
    <fb>135.91999999999999</fb>
    <v>0</v>
  </rv>
  <rv s="0">
    <fb>140</fb>
    <v>5</v>
  </rv>
  <rv s="0">
    <fb>43.954999999999998</fb>
    <v>0</v>
  </rv>
  <rv s="0">
    <fb>5.56</fb>
    <v>0</v>
  </rv>
  <rv s="0">
    <fb>219.94</fb>
    <v>0</v>
  </rv>
  <rv s="0">
    <fb>20.68</fb>
    <v>0</v>
  </rv>
  <rv s="0">
    <fb>164.9</fb>
    <v>0</v>
  </rv>
  <rv s="0">
    <fb>131.09</fb>
    <v>0</v>
  </rv>
  <rv s="0">
    <fb>80.61</fb>
    <v>0</v>
  </rv>
  <rv s="0">
    <fb>1429</fb>
    <v>1</v>
  </rv>
  <rv s="0">
    <fb>109.66</fb>
    <v>0</v>
  </rv>
  <rv s="0">
    <fb>77.08</fb>
    <v>0</v>
  </rv>
  <rv s="0">
    <fb>1.08</fb>
    <v>2</v>
  </rv>
  <rv s="0">
    <fb>345.48</fb>
    <v>0</v>
  </rv>
  <rv s="0">
    <fb>0.11700000000000001</fb>
    <v>4</v>
  </rv>
  <rv s="0">
    <fb>141.69</fb>
    <v>0</v>
  </rv>
  <rv s="0">
    <fb>143.19999999999999</fb>
    <v>5</v>
  </rv>
  <rv s="0">
    <fb>49.37</fb>
    <v>0</v>
  </rv>
  <rv s="0">
    <fb>5.835</fb>
    <v>0</v>
  </rv>
  <rv s="0">
    <fb>225.46</fb>
    <v>0</v>
  </rv>
  <rv s="0">
    <fb>21.58</fb>
    <v>0</v>
  </rv>
  <rv s="0">
    <fb>169.68</fb>
    <v>0</v>
  </rv>
  <rv s="0">
    <fb>126.41</fb>
    <v>0</v>
  </rv>
  <rv s="0">
    <fb>79.180000000000007</fb>
    <v>0</v>
  </rv>
  <rv s="0">
    <fb>1441</fb>
    <v>1</v>
  </rv>
  <rv s="0">
    <fb>74.41</fb>
    <v>0</v>
  </rv>
  <rv s="0">
    <fb>118.34</fb>
    <v>0</v>
  </rv>
  <rv s="0">
    <fb>1</fb>
    <v>2</v>
  </rv>
  <rv s="0">
    <fb>5.21</fb>
    <v>3</v>
  </rv>
  <rv s="0">
    <fb>26.62</fb>
    <v>0</v>
  </rv>
  <rv s="0">
    <fb>329.93</fb>
    <v>0</v>
  </rv>
  <rv s="0">
    <fb>0.124</fb>
    <v>4</v>
  </rv>
  <rv s="0">
    <fb>137.33000000000001</fb>
    <v>0</v>
  </rv>
  <rv s="0">
    <fb>138.80000000000001</fb>
    <v>5</v>
  </rv>
  <rv s="0">
    <fb>51.84</fb>
    <v>0</v>
  </rv>
  <rv s="0">
    <fb>5.9050000000000002</fb>
    <v>0</v>
  </rv>
  <rv s="0">
    <fb>232.73</fb>
    <v>0</v>
  </rv>
  <rv s="0">
    <fb>22.75</fb>
    <v>0</v>
  </rv>
  <rv s="0">
    <fb>177.25</fb>
    <v>0</v>
  </rv>
  <rv s="0">
    <fb>128.59</fb>
    <v>0</v>
  </rv>
  <rv s="0">
    <fb>77.33</fb>
    <v>0</v>
  </rv>
  <rv s="0">
    <fb>1346.4</fb>
    <v>1</v>
  </rv>
  <rv s="0">
    <fb>61.55</fb>
    <v>0</v>
  </rv>
  <rv s="0">
    <fb>102.18</fb>
    <v>0</v>
  </rv>
  <rv s="0">
    <fb>73.459999999999994</fb>
    <v>0</v>
  </rv>
  <rv s="0">
    <fb>5.22</fb>
    <v>3</v>
  </rv>
  <rv s="0">
    <fb>395.23</fb>
    <v>0</v>
  </rv>
  <rv s="0">
    <fb>0.13</fb>
    <v>4</v>
  </rv>
  <rv s="0">
    <fb>136.13</fb>
    <v>0</v>
  </rv>
  <rv s="0">
    <fb>132</fb>
    <v>5</v>
  </rv>
  <rv s="0">
    <fb>46.99</fb>
    <v>0</v>
  </rv>
  <rv s="0">
    <fb>5.31</fb>
    <v>0</v>
  </rv>
  <rv s="0">
    <fb>221.03</fb>
    <v>0</v>
  </rv>
  <rv s="0">
    <fb>22.92</fb>
    <v>0</v>
  </rv>
  <rv s="0">
    <fb>193.97</fb>
    <v>0</v>
  </rv>
  <rv s="0">
    <fb>133.81</fb>
    <v>0</v>
  </rv>
  <rv s="0">
    <fb>80.11</fb>
    <v>0</v>
  </rv>
  <rv s="0">
    <fb>1388.8</fb>
    <v>1</v>
  </rv>
  <rv s="0">
    <fb>62.25</fb>
    <v>0</v>
  </rv>
  <rv s="0">
    <fb>107.25</fb>
    <v>0</v>
  </rv>
  <rv s="0">
    <fb>74.2</fb>
    <v>0</v>
  </rv>
  <rv s="0">
    <fb>0.92</fb>
    <v>2</v>
  </rv>
  <rv s="0">
    <fb>28.68</fb>
    <v>0</v>
  </rv>
  <rv s="0">
    <fb>440.49</fb>
    <v>0</v>
  </rv>
  <rv s="0">
    <fb>0.13819999999999999</fb>
    <v>4</v>
  </rv>
  <rv s="0">
    <fb>160.75</fb>
    <v>0</v>
  </rv>
  <rv s="0">
    <fb>128.80000000000001</fb>
    <v>5</v>
  </rv>
  <rv s="0">
    <fb>47.96</fb>
    <v>0</v>
  </rv>
  <rv s="0">
    <fb>5.7495000000000003</fb>
    <v>0</v>
  </rv>
  <rv s="0">
    <fb>237.48</fb>
    <v>0</v>
  </rv>
  <rv s="0">
    <fb>23.08</fb>
    <v>0</v>
  </rv>
  <rv s="0">
    <fb>196.45</fb>
    <v>0</v>
  </rv>
  <rv s="0">
    <fb>144.18</fb>
    <v>0</v>
  </rv>
  <rv s="0">
    <fb>77.87</fb>
    <v>0</v>
  </rv>
  <rv s="0">
    <fb>1384.6</fb>
    <v>1</v>
  </rv>
  <rv s="0">
    <fb>63.72</fb>
    <v>0</v>
  </rv>
  <rv s="0">
    <fb>107.24</fb>
    <v>0</v>
  </rv>
  <rv s="0">
    <fb>73.3</fb>
    <v>0</v>
  </rv>
  <rv s="0">
    <fb>0.98</fb>
    <v>2</v>
  </rv>
  <rv s="0">
    <fb>5.5</fb>
    <v>3</v>
  </rv>
  <rv s="0">
    <fb>34.96</fb>
    <v>0</v>
  </rv>
  <rv s="0">
    <fb>438.97</fb>
    <v>0</v>
  </rv>
  <rv s="0">
    <fb>0.13639999999999999</fb>
    <v>4</v>
  </rv>
  <rv s="0">
    <fb>168.24</fb>
    <v>0</v>
  </rv>
  <rv s="0">
    <fb>147.80000000000001</fb>
    <v>5</v>
  </rv>
  <rv s="0">
    <fb>48.66</fb>
    <v>0</v>
  </rv>
  <rv s="0">
    <fb>6.7</fb>
    <v>0</v>
  </rv>
  <rv s="0">
    <fb>237.73</fb>
    <v>0</v>
  </rv>
  <rv s="0">
    <fb>24.57</fb>
    <v>0</v>
  </rv>
  <rv s="0">
    <fb>187.87</fb>
    <v>0</v>
  </rv>
  <rv s="0">
    <fb>146.83000000000001</fb>
    <v>0</v>
  </rv>
  <rv s="0">
    <fb>64.53</fb>
    <v>0</v>
  </rv>
  <rv s="0">
    <fb>111.19</fb>
    <v>0</v>
  </rv>
  <rv s="0">
    <fb>66.8</fb>
    <v>0</v>
  </rv>
  <rv s="0">
    <fb>0.89</fb>
    <v>2</v>
  </rv>
  <rv s="0">
    <fb>30.35</fb>
    <v>0</v>
  </rv>
  <rv s="0">
    <fb>433.68</fb>
    <v>0</v>
  </rv>
  <rv s="0">
    <fb>0.1326</fb>
    <v>4</v>
  </rv>
  <rv s="0">
    <fb>172.13</fb>
    <v>0</v>
  </rv>
  <rv s="0">
    <fb>133.80000000000001</fb>
    <v>5</v>
  </rv>
  <rv s="0">
    <fb>51.77</fb>
    <v>0</v>
  </rv>
  <rv s="0">
    <fb>7.2050000000000001</fb>
    <v>0</v>
  </rv>
  <rv s="0">
    <fb>245.68</fb>
    <v>0</v>
  </rv>
  <rv s="0">
    <fb>23.17</fb>
    <v>0</v>
  </rv>
  <rv s="0">
    <fb>171.21</fb>
    <v>0</v>
  </rv>
  <rv s="0">
    <fb>140.30000000000001</fb>
    <v>0</v>
  </rv>
  <rv s="0">
    <fb>73.38</fb>
    <v>0</v>
  </rv>
  <rv s="0">
    <fb>1492</fb>
    <v>1</v>
  </rv>
  <rv s="0">
    <fb>57.77</fb>
    <v>0</v>
  </rv>
  <rv s="0">
    <fb>57.29</fb>
    <v>0</v>
  </rv>
  <rv s="0">
    <fb>4.75</fb>
    <v>3</v>
  </rv>
  <rv s="0">
    <fb>377.6</fb>
    <v>0</v>
  </rv>
  <rv s="0">
    <fb>0.1288</fb>
    <v>4</v>
  </rv>
  <rv s="0">
    <fb>179.75</fb>
    <v>0</v>
  </rv>
  <rv s="0">
    <fb>145.4</fb>
    <v>5</v>
  </rv>
  <rv s="0">
    <fb>49.45</fb>
    <v>0</v>
  </rv>
  <rv s="0">
    <fb>230.01</fb>
    <v>0</v>
  </rv>
  <rv s="0">
    <fb>23.12</fb>
    <v>0</v>
  </rv>
  <rv s="0">
    <fb>170.77</fb>
    <v>0</v>
  </rv>
  <rv s="0">
    <fb>144.63999999999999</fb>
    <v>0</v>
  </rv>
  <rv s="0">
    <fb>72.209999999999994</fb>
    <v>0</v>
  </rv>
  <rv s="0">
    <fb>1457.4</fb>
    <v>1</v>
  </rv>
  <rv s="0">
    <fb>53.93</fb>
    <v>0</v>
  </rv>
  <rv s="0">
    <fb>105.85</fb>
    <v>0</v>
  </rv>
  <rv s="0">
    <fb>58.3</fb>
    <v>0</v>
  </rv>
  <rv s="0">
    <fb>4.88</fb>
    <v>3</v>
  </rv>
  <rv s="0">
    <fb>19.100000000000001</fb>
    <v>0</v>
  </rv>
  <rv s="0">
    <fb>411.69</fb>
    <v>0</v>
  </rv>
  <rv s="0">
    <fb>0.10580000000000001</fb>
    <v>4</v>
  </rv>
  <rv s="0">
    <fb>175.18</fb>
    <v>0</v>
  </rv>
  <rv s="0">
    <fb>113.4</fb>
    <v>5</v>
  </rv>
  <rv s="0">
    <fb>54.49</fb>
    <v>0</v>
  </rv>
  <rv s="0">
    <fb>7.56</fb>
    <v>0</v>
  </rv>
  <rv s="0">
    <fb>235.1</fb>
    <v>0</v>
  </rv>
  <rv s="0">
    <fb>22.19</fb>
    <v>0</v>
  </rv>
  <rv s="0">
    <fb>189.95</fb>
    <v>0</v>
  </rv>
  <rv s="0">
    <fb>158.56</fb>
    <v>0</v>
  </rv>
  <rv s="0">
    <fb>81.040000000000006</fb>
    <v>0</v>
  </rv>
  <rv s="0">
    <fb>1419.4</fb>
    <v>1</v>
  </rv>
  <rv s="0">
    <fb>54.34</fb>
    <v>0</v>
  </rv>
  <rv s="0">
    <fb>102.74</fb>
    <v>0</v>
  </rv>
  <rv s="0">
    <fb>58.51</fb>
    <v>0</v>
  </rv>
  <rv s="0">
    <fb>0.48499999999999999</fb>
    <v>2</v>
  </rv>
  <rv s="0">
    <fb>4.9400000000000004</fb>
    <v>3</v>
  </rv>
  <rv s="0">
    <fb>23.94</fb>
    <v>0</v>
  </rv>
  <rv s="0">
    <fb>473.97</fb>
    <v>0</v>
  </rv>
  <rv s="0">
    <fb>0.11020000000000001</fb>
    <v>4</v>
  </rv>
  <rv s="0">
    <fb>189.78</fb>
    <v>0</v>
  </rv>
  <rv s="0">
    <fb>110.4</fb>
    <v>5</v>
  </rv>
  <rv s="0">
    <fb>53.57</fb>
    <v>0</v>
  </rv>
  <rv s="0">
    <fb>7.6619999999999999</fb>
    <v>0</v>
  </rv>
  <rv s="0">
    <fb>256.68</fb>
    <v>0</v>
  </rv>
  <rv s="0">
    <fb>22.17</fb>
    <v>0</v>
  </rv>
  <rv s="0">
    <fb>192.53</fb>
    <v>0</v>
  </rv>
  <rv s="0">
    <fb>163.55000000000001</fb>
    <v>0</v>
  </rv>
  <rv s="0">
    <fb>84.06</fb>
    <v>0</v>
  </rv>
  <rv s="0">
    <fb>1450.2</fb>
    <v>1</v>
  </rv>
  <rv s="0">
    <fb>62.79</fb>
    <v>0</v>
  </rv>
  <rv s="0">
    <fb>99.98</fb>
    <v>0</v>
  </rv>
  <rv s="0">
    <fb>60.74</fb>
    <v>0</v>
  </rv>
  <rv s="0">
    <fb>31.53</fb>
    <v>0</v>
  </rv>
  <rv s="0">
    <fb>486.88</fb>
    <v>0</v>
  </rv>
  <rv s="0">
    <fb>9.6100000000000005E-2</fb>
    <v>4</v>
  </rv>
  <rv s="0">
    <fb>183.38</fb>
    <v>0</v>
  </rv>
  <rv s="0">
    <fb>115.8</fb>
    <v>5</v>
  </rv>
  <rv s="0">
    <fb>57.817999999999998</fb>
    <v>0</v>
  </rv>
  <rv s="0">
    <fb>8.1999999999999993</fb>
    <v>0</v>
  </rv>
  <rv s="0">
    <fb>260.35000000000002</fb>
    <v>0</v>
  </rv>
  <rv s="0">
    <fb>23.84</fb>
    <v>0</v>
  </rv>
  <rv s="0">
    <fb>184.4</fb>
    <v>0</v>
  </rv>
  <rv s="0">
    <fb>183.66</fb>
    <v>0</v>
  </rv>
  <rv s="0">
    <fb>87.59</fb>
    <v>0</v>
  </rv>
  <rv s="0">
    <fb>1568</fb>
    <v>1</v>
  </rv>
  <rv s="0">
    <fb>58.77</fb>
    <v>0</v>
  </rv>
  <rv s="0">
    <fb>102.81</fb>
    <v>0</v>
  </rv>
  <rv s="0">
    <fb>58.63</fb>
    <v>0</v>
  </rv>
  <rv s="0">
    <fb>0.51</fb>
    <v>2</v>
  </rv>
  <rv s="0">
    <fb>5.64</fb>
    <v>3</v>
  </rv>
  <rv s="0">
    <fb>32.97</fb>
    <v>0</v>
  </rv>
  <rv s="0">
    <fb>564.11</fb>
    <v>0</v>
  </rv>
  <rv s="0">
    <fb>0.1298</fb>
    <v>4</v>
  </rv>
  <rv s="0">
    <fb>199.7</fb>
    <v>0</v>
  </rv>
  <rv s="0">
    <fb>97</fb>
    <v>5</v>
  </rv>
  <rv s="0">
    <fb>8.7050000000000001</fb>
    <v>0</v>
  </rv>
  <rv s="0">
    <fb>273.26</fb>
    <v>0</v>
  </rv>
  <rv s="0">
    <fb>24.4</fb>
    <v>0</v>
  </rv>
  <rv s="0">
    <fb>180.75</fb>
    <v>0</v>
  </rv>
  <rv s="0">
    <fb>185.03</fb>
    <v>0</v>
  </rv>
  <rv s="0">
    <fb>86.67</fb>
    <v>0</v>
  </rv>
  <rv s="0">
    <fb>1664.6</fb>
    <v>1</v>
  </rv>
  <rv s="0">
    <fb>58.36</fb>
    <v>0</v>
  </rv>
  <rv s="0">
    <fb>104.52</fb>
    <v>0</v>
  </rv>
  <rv s="0">
    <fb>55.19</fb>
    <v>0</v>
  </rv>
  <rv s="0">
    <fb>0.47</fb>
    <v>2</v>
  </rv>
  <rv s="0">
    <fb>5.31</fb>
    <v>3</v>
  </rv>
  <rv s="0">
    <fb>38.76</fb>
    <v>0</v>
  </rv>
  <rv s="0">
    <fb>602.91999999999996</fb>
    <v>0</v>
  </rv>
  <rv s="0">
    <fb>0.14779999999999999</fb>
    <v>4</v>
  </rv>
  <rv s="0">
    <fb>240.55</fb>
    <v>0</v>
  </rv>
  <rv s="0">
    <fb>95.6</fb>
    <v>5</v>
  </rv>
  <rv s="0">
    <fb>63.84</fb>
    <v>0</v>
  </rv>
  <rv s="0">
    <fb>10.62</fb>
    <v>0</v>
  </rv>
  <rv s="0">
    <fb>282.64</fb>
    <v>0</v>
  </rv>
  <rv s="0">
    <fb>25.61</fb>
    <v>0</v>
  </rv>
  <rv s="0">
    <fb>171.48</fb>
    <v>0</v>
  </rv>
  <rv s="0">
    <fb>190.96</fb>
    <v>0</v>
  </rv>
  <rv s="0">
    <fb>91.53</fb>
    <v>0</v>
  </rv>
  <rv s="0">
    <fb>1708.6</fb>
    <v>1</v>
  </rv>
  <rv s="0">
    <fb>56.97</fb>
    <v>0</v>
  </rv>
  <rv s="0">
    <fb>116.24</fb>
    <v>0</v>
  </rv>
  <rv s="0">
    <fb>63.91</fb>
    <v>0</v>
  </rv>
  <rv s="0">
    <fb>5.48</fb>
    <v>3</v>
  </rv>
  <rv s="0">
    <fb>33.770000000000003</fb>
    <v>0</v>
  </rv>
  <rv s="0">
    <fb>607.33000000000004</fb>
    <v>0</v>
  </rv>
  <rv s="0">
    <fb>0.1308</fb>
    <v>4</v>
  </rv>
  <rv s="0">
    <fb>251.68</fb>
    <v>0</v>
  </rv>
  <rv s="0">
    <fb>90</fb>
    <v>5</v>
  </rv>
  <rv s="0">
    <fb>69.349999999999994</fb>
    <v>0</v>
  </rv>
  <rv s="0">
    <fb>12.566000000000001</fb>
    <v>0</v>
  </rv>
  <rv s="0">
    <fb>279.08</fb>
    <v>0</v>
  </rv>
  <rv s="0">
    <fb>26.41</fb>
    <v>0</v>
  </rv>
  <rv s="0">
    <fb>170.33</fb>
    <v>0</v>
  </rv>
  <rv s="0">
    <fb>166.2</fb>
    <v>0</v>
  </rv>
  <rv s="0">
    <fb>92.79</fb>
    <v>0</v>
  </rv>
  <rv s="0">
    <fb>1673</fb>
    <v>1</v>
  </rv>
  <rv s="0">
    <fb>52.05</fb>
    <v>0</v>
  </rv>
  <rv s="0">
    <fb>118.27</fb>
    <v>0</v>
  </rv>
  <rv s="0">
    <fb>66.97</fb>
    <v>0</v>
  </rv>
  <rv s="0">
    <fb>0.56000000000000005</fb>
    <v>2</v>
  </rv>
  <rv s="0">
    <fb>5.46</fb>
    <v>3</v>
  </rv>
  <rv s="0">
    <fb>25.57</fb>
    <v>0</v>
  </rv>
  <rv s="0">
    <fb>550.64</fb>
    <v>0</v>
  </rv>
  <rv s="0">
    <fb>0.1245</fb>
    <v>4</v>
  </rv>
  <rv s="0">
    <fb>227.31</fb>
    <v>0</v>
  </rv>
  <rv s="0">
    <fb>67.37</fb>
    <v>0</v>
  </rv>
  <rv s="0">
    <fb>11.6</fb>
    <v>0</v>
  </rv>
  <rv s="0">
    <fb>268.61</fb>
    <v>0</v>
  </rv>
  <rv s="0">
    <fb>27.53</fb>
    <v>0</v>
  </rv>
  <rv s="0">
    <fb>192.25</fb>
    <v>0</v>
  </rv>
  <rv s="0">
    <fb>166.85</fb>
    <v>0</v>
  </rv>
  <rv s="0">
    <fb>92.33</fb>
    <v>0</v>
  </rv>
  <rv s="0">
    <fb>1766.5</fb>
    <v>1</v>
  </rv>
  <rv s="0">
    <fb>57.79</fb>
    <v>0</v>
  </rv>
  <rv s="0">
    <fb>117.26</fb>
    <v>0</v>
  </rv>
  <rv s="0">
    <fb>80.02</fb>
    <v>0</v>
  </rv>
  <rv s="0">
    <fb>0.56999999999999995</fb>
    <v>2</v>
  </rv>
  <rv s="0">
    <fb>5.67</fb>
    <v>3</v>
  </rv>
  <rv s="0">
    <fb>641.62</fb>
    <v>0</v>
  </rv>
  <rv s="0">
    <fb>0.112</fb>
    <v>4</v>
  </rv>
  <rv s="0">
    <fb>217.51</fb>
    <v>0</v>
  </rv>
  <rv s="0">
    <fb>84</fb>
    <v>5</v>
  </rv>
  <rv s="0">
    <fb>71.94</fb>
    <v>0</v>
  </rv>
  <rv s="0">
    <fb>12.8</fb>
    <v>0</v>
  </rv>
  <rv s="0">
    <fb>272.45999999999998</fb>
    <v>0</v>
  </rv>
  <rv s="0">
    <fb>26.74</fb>
    <v>0</v>
  </rv>
  <rv s="0">
    <fb>210.62</fb>
    <v>0</v>
  </rv>
  <rv s="0">
    <fb>172.95</fb>
    <v>0</v>
  </rv>
  <rv s="0">
    <fb>96.84</fb>
    <v>0</v>
  </rv>
  <rv s="0">
    <fb>1529.5</fb>
    <v>1</v>
  </rv>
  <rv s="0">
    <fb>60.62</fb>
    <v>0</v>
  </rv>
  <rv s="0">
    <fb>115.12</fb>
    <v>0</v>
  </rv>
  <rv s="0">
    <fb>70.81</fb>
    <v>0</v>
  </rv>
  <rv s="0">
    <fb>0.69</fb>
    <v>2</v>
  </rv>
  <rv s="0">
    <fb>5.03</fb>
    <v>3</v>
  </rv>
  <rv s="0">
    <fb>674.88</fb>
    <v>0</v>
  </rv>
  <rv s="0">
    <fb>0.1115</fb>
    <v>4</v>
  </rv>
  <rv s="0">
    <fb>204.97</fb>
    <v>0</v>
  </rv>
  <rv s="0">
    <fb>76.599999999999994</fb>
    <v>5</v>
  </rv>
  <rv s="0">
    <fb>66.849999999999994</fb>
    <v>0</v>
  </rv>
  <rv s="0">
    <fb>11.59</fb>
    <v>0</v>
  </rv>
  <rv s="0">
    <fb>262.47000000000003</fb>
    <v>0</v>
  </rv>
  <rv s="0">
    <fb>28.81</fb>
    <v>0</v>
  </rv>
  <rv s="0">
    <fb>222.08</fb>
    <v>0</v>
  </rv>
  <rv s="0">
    <fb>192.14</fb>
    <v>0</v>
  </rv>
  <rv s="0">
    <fb>101.65</fb>
    <v>0</v>
  </rv>
  <rv s="0">
    <fb>1512</fb>
    <v>1</v>
  </rv>
  <rv s="0">
    <fb>65.069999999999993</fb>
    <v>0</v>
  </rv>
  <rv s="0">
    <fb>118.59</fb>
    <v>0</v>
  </rv>
  <rv s="0">
    <fb>76.39</fb>
    <v>0</v>
  </rv>
  <rv s="0">
    <fb>0.85</fb>
    <v>2</v>
  </rv>
  <rv s="0">
    <fb>23.46</fb>
    <v>0</v>
  </rv>
  <rv s="0">
    <fb>628.35</fb>
    <v>0</v>
  </rv>
  <rv s="0">
    <fb>0.1065</fb>
    <v>4</v>
  </rv>
  <rv s="0">
    <fb>193.55</fb>
    <v>0</v>
  </rv>
  <rv s="0">
    <fb>88.3</fb>
    <v>5</v>
  </rv>
  <rv s="0">
    <fb>66.75</fb>
    <v>0</v>
  </rv>
  <rv s="0">
    <fb>11.95</fb>
    <v>0</v>
  </rv>
  <rv s="0">
    <fb>265.67</fb>
    <v>0</v>
  </rv>
  <rv s="0">
    <fb>29.11</fb>
    <v>0</v>
  </rv>
  <rv s="0">
    <fb>229</fb>
    <v>0</v>
  </rv>
  <rv s="0">
    <fb>202.13</fb>
    <v>0</v>
  </rv>
  <rv s="0">
    <fb>100.89</fb>
    <v>0</v>
  </rv>
  <rv s="0">
    <fb>1657</fb>
    <v>1</v>
  </rv>
  <rv s="0">
    <fb>65.66</fb>
    <v>0</v>
  </rv>
  <rv s="0">
    <fb>117.94</fb>
    <v>0</v>
  </rv>
  <rv s="0">
    <fb>80.510000000000005</fb>
    <v>0</v>
  </rv>
  <rv s="0">
    <fb>0.82</fb>
    <v>2</v>
  </rv>
  <rv s="0">
    <fb>21.1</fb>
    <v>0</v>
  </rv>
  <rv s="0">
    <fb>701.35</fb>
    <v>0</v>
  </rv>
  <rv s="0">
    <fb>0.1</fb>
    <v>4</v>
  </rv>
  <rv s="0">
    <fb>189.8</fb>
    <v>0</v>
  </rv>
  <rv s="0">
    <fb>77.900000000000006</fb>
    <v>5</v>
  </rv>
  <rv s="0">
    <fb>71.52</fb>
    <v>0</v>
  </rv>
  <rv s="0">
    <fb>12.5</fb>
    <v>0</v>
  </rv>
  <rv s="0">
    <fb>276.37</fb>
    <v>0</v>
  </rv>
  <rv s="0">
    <fb>29.31</fb>
    <v>0</v>
  </rv>
  <rv s="0">
    <fb>233</fb>
    <v>0</v>
  </rv>
  <rv s="0">
    <fb>221.08</fb>
    <v>0</v>
  </rv>
  <rv s="0">
    <fb>102.96</fb>
    <v>0</v>
  </rv>
  <rv s="0">
    <fb>1516.5</fb>
    <v>1</v>
  </rv>
  <rv s="0">
    <fb>66.099999999999994</fb>
    <v>0</v>
  </rv>
  <rv s="0">
    <fb>117.22</fb>
    <v>0</v>
  </rv>
  <rv s="0">
    <fb>84.53</fb>
    <v>0</v>
  </rv>
  <rv s="0">
    <fb>0.93</fb>
    <v>2</v>
  </rv>
  <rv s="0">
    <fb>23.21</fb>
    <v>0</v>
  </rv>
  <rv s="0">
    <fb>709.27</fb>
    <v>0</v>
  </rv>
  <rv s="0">
    <fb>0.1075</fb>
    <v>4</v>
  </rv>
  <rv s="0">
    <fb>178.57</fb>
    <v>0</v>
  </rv>
  <rv s="0">
    <fb>73.5</fb>
    <v>5</v>
  </rv>
  <rv s="0">
    <fb>66.349999999999994</fb>
    <v>0</v>
  </rv>
  <rv s="0">
    <fb>11.07</fb>
    <v>0</v>
  </rv>
  <rv s="0">
    <fb>274.95</fb>
    <v>0</v>
  </rv>
  <rv s="0">
    <fb>29.85</fb>
    <v>0</v>
  </rv>
  <rv s="0">
    <fb>225.91</fb>
    <v>0</v>
  </rv>
  <rv s="0">
    <fb>206.72</fb>
    <v>0</v>
  </rv>
  <rv s="0">
    <fb>103.93</fb>
    <v>0</v>
  </rv>
  <rv s="0">
    <fb>1392.5</fb>
    <v>1</v>
  </rv>
  <rv s="0">
    <fb>74.12</fb>
    <v>0</v>
  </rv>
  <rv s="0">
    <fb>116.78</fb>
    <v>0</v>
  </rv>
  <rv s="0">
    <fb>79.25</fb>
    <v>0</v>
  </rv>
  <rv s="0">
    <fb>0.78</fb>
    <v>2</v>
  </rv>
  <rv s="0">
    <fb>5.07</fb>
    <v>3</v>
  </rv>
  <rv s="0">
    <fb>17.73</fb>
    <v>0</v>
  </rv>
  <rv s="0">
    <fb>756.03</fb>
    <v>0</v>
  </rv>
  <rv s="0">
    <fb>0.11</fb>
    <v>4</v>
  </rv>
  <rv s="0">
    <fb>173.02</fb>
    <v>0</v>
  </rv>
  <rv s="0">
    <fb>59.3</fb>
    <v>5</v>
  </rv>
  <rv s="0">
    <fb>64.45</fb>
    <v>0</v>
  </rv>
  <rv s="0">
    <fb>11.94</fb>
    <v>0</v>
  </rv>
  <rv s="0">
    <fb>289.85000000000002</fb>
    <v>0</v>
  </rv>
  <rv s="0">
    <fb>30.41</fb>
    <v>0</v>
  </rv>
  <rv s="0">
    <fb>237.33</fb>
    <v>0</v>
  </rv>
  <rv s="0">
    <fb>227.41</fb>
    <v>0</v>
  </rv>
  <rv s="0">
    <fb>116.87</fb>
    <v>0</v>
  </rv>
  <rv s="0">
    <fb>1335</fb>
    <v>1</v>
  </rv>
  <rv s="0">
    <fb>74.59</fb>
    <v>0</v>
  </rv>
  <rv s="0">
    <fb>117.96</fb>
    <v>0</v>
  </rv>
  <rv s="0">
    <fb>78.67</fb>
    <v>0</v>
  </rv>
  <rv s="0">
    <fb>0.64</fb>
    <v>2</v>
  </rv>
  <rv s="0">
    <fb>18.34</fb>
    <v>0</v>
  </rv>
  <rv s="0">
    <fb>886.81</fb>
    <v>0</v>
  </rv>
  <rv s="0">
    <fb>0.121</fb>
    <v>4</v>
  </rv>
  <rv s="0">
    <fb>170.63</fb>
    <v>0</v>
  </rv>
  <rv s="0">
    <fb>62</fb>
    <v>5</v>
  </rv>
  <rv s="0">
    <fb>62.44</fb>
    <v>0</v>
  </rv>
  <rv s="0">
    <fb>13.45</fb>
    <v>0</v>
  </rv>
  <rv s="0">
    <fb>315.08</fb>
    <v>0</v>
  </rv>
  <rv s="0">
    <fb>30.55</fb>
    <v>0</v>
  </rv>
  <rv s="0">
    <fb>250.42</fb>
    <v>0</v>
  </rv>
  <rv s="0">
    <fb>219.83</fb>
    <v>0</v>
  </rv>
  <rv s="0">
    <fb>113.6</fb>
    <v>0</v>
  </rv>
  <rv s="0">
    <fb>1346.5</fb>
    <v>1</v>
  </rv>
  <rv s="0">
    <fb>107.57</fb>
    <v>0</v>
  </rv>
  <rv s="0">
    <fb>71.69</fb>
    <v>0</v>
  </rv>
  <rv s="0">
    <fb>16.97</fb>
    <v>0</v>
  </rv>
  <rv s="0">
    <fb>891.32</fb>
    <v>0</v>
  </rv>
  <rv s="0">
    <fb>194.61</fb>
    <v>0</v>
  </rv>
  <rv s="0">
    <fb>65.8</fb>
    <v>5</v>
  </rv>
  <rv s="0">
    <fb>57.16</fb>
    <v>0</v>
  </rv>
  <rv s="0">
    <fb>13.5099</fb>
    <v>0</v>
  </rv>
  <rv s="0">
    <fb>316.04000000000002</fb>
    <v>0</v>
  </rv>
  <rv s="0">
    <fb>29.86</fb>
    <v>0</v>
  </rv>
  <rv s="0">
    <fb>236</fb>
    <v>0</v>
  </rv>
  <rv s="0">
    <fb>255.7</fb>
    <v>0</v>
  </rv>
  <rv s="0">
    <fb>115.83</fb>
    <v>0</v>
  </rv>
  <rv s="0">
    <fb>1405</fb>
    <v>1</v>
  </rv>
  <rv s="0">
    <fb>74.16</fb>
    <v>0</v>
  </rv>
  <rv s="0">
    <fb>106.83</fb>
    <v>0</v>
  </rv>
  <rv s="0">
    <fb>71.56</fb>
    <v>0</v>
  </rv>
  <rv s="0">
    <fb>5.49</fb>
    <v>3</v>
  </rv>
  <rv s="0">
    <fb>976.76</fb>
    <v>0</v>
  </rv>
  <rv s="0">
    <fb>0.13900000000000001</fb>
    <v>4</v>
  </rv>
  <rv s="0">
    <fb>188.93</fb>
    <v>0</v>
  </rv>
  <rv s="0">
    <fb>58</fb>
    <v>5</v>
  </rv>
  <rv s="0">
    <fb>60.79</fb>
    <v>0</v>
  </rv>
  <rv s="0">
    <fb>15.605</fb>
    <v>0</v>
  </rv>
  <rv s="0">
    <fb>341.8</fb>
    <v>0</v>
  </rv>
  <rv s="0">
    <fb>28.67</fb>
    <v>0</v>
  </rv>
  <rv s="0">
    <fb>241.84</fb>
    <v>0</v>
  </rv>
  <rv s="0">
    <fb>252.44</fb>
    <v>0</v>
  </rv>
  <rv s="0">
    <fb>111.49</fb>
    <v>0</v>
  </rv>
  <rv s="0">
    <fb>1466.5</fb>
    <v>1</v>
  </rv>
  <rv s="0">
    <fb>111.33</fb>
    <v>0</v>
  </rv>
  <rv s="0">
    <fb>70.17</fb>
    <v>0</v>
  </rv>
  <rv s="0">
    <fb>0.57999999999999996</fb>
    <v>2</v>
  </rv>
  <rv s="0">
    <fb>5.35</fb>
    <v>3</v>
  </rv>
  <rv s="0">
    <fb>16.79</fb>
    <v>0</v>
  </rv>
  <rv s="0">
    <fb>980.56</fb>
    <v>0</v>
  </rv>
  <rv s="0">
    <fb>0.13450000000000001</fb>
    <v>4</v>
  </rv>
  <rv s="0">
    <fb>181.48</fb>
    <v>0</v>
  </rv>
  <rv s="0">
    <fb>55.2</fb>
    <v>5</v>
  </rv>
  <rv s="0">
    <fb>73.14</fb>
    <v>0</v>
  </rv>
  <rv s="0">
    <fb>20.73</fb>
    <v>0</v>
  </rv>
  <rv s="0">
    <fb>362.71</fb>
    <v>0</v>
  </rv>
  <rv s="0">
    <fb>27.88</fb>
    <v>0</v>
  </rv>
  <rv s="0">
    <fb>222.13</fb>
    <v>0</v>
  </rv>
  <rv s="0">
    <fb>248.66</fb>
    <v>0</v>
  </rv>
  <rv s="0">
    <fb>100.83</fb>
    <v>0</v>
  </rv>
  <rv s="0">
    <fb>1462</fb>
    <v>1</v>
  </rv>
  <rv s="0">
    <fb>60.55</fb>
    <v>0</v>
  </rv>
  <rv s="0">
    <fb>70.89</fb>
    <v>0</v>
  </rv>
  <rv s="0">
    <fb>10.59</fb>
    <v>0</v>
  </rv>
  <rv s="0">
    <fb>932.53</fb>
    <v>0</v>
  </rv>
  <rv s="0">
    <fb>0.126</fb>
    <v>4</v>
  </rv>
  <rv s="0">
    <fb>176.53</fb>
    <v>0</v>
  </rv>
  <rv s="0">
    <fb>52.9</fb>
    <v>5</v>
  </rv>
  <rv s="0">
    <fb>82.23</fb>
    <v>0</v>
  </rv>
  <rv s="0">
    <fb>24.37</fb>
    <v>0</v>
  </rv>
  <rv s="0">
    <fb>350.46</fb>
    <v>0</v>
  </rv>
  <rv s="0">
    <fb>31.52</fb>
    <v>0</v>
  </rv>
  <rv s="0">
    <fb>212.5</fb>
    <v>0</v>
  </rv>
  <rv s="0">
    <fb>241.82</fb>
    <v>0</v>
  </rv>
  <rv s="0">
    <fb>105.39</fb>
    <v>0</v>
  </rv>
  <rv s="0">
    <fb>1483.5</fb>
    <v>1</v>
  </rv>
  <rv s="0">
    <fb>62.66</fb>
    <v>0</v>
  </rv>
  <rv s="0">
    <fb>105.63</fb>
    <v>0</v>
  </rv>
  <rv s="0">
    <fb>66.88</fb>
    <v>0</v>
  </rv>
  <rv s="0">
    <fb>0.44</fb>
    <v>2</v>
  </rv>
  <rv s="0">
    <fb>5.78</fb>
    <v>3</v>
  </rv>
  <rv s="0">
    <fb>12.81</fb>
    <v>0</v>
  </rv>
  <rv s="0">
    <fb>1131.72</fb>
    <v>0</v>
  </rv>
  <rv s="0">
    <fb>191.22</fb>
    <v>0</v>
  </rv>
  <rv s="0">
    <fb>54</fb>
    <v>5</v>
  </rv>
  <rv s="0">
    <fb>93.23</fb>
    <v>0</v>
  </rv>
  <rv s="0">
    <fb>25.68</fb>
    <v>0</v>
  </rv>
  <rv s="0">
    <fb>345.5</fb>
    <v>0</v>
  </rv>
  <rv s="0">
    <fb>33.56</fb>
    <v>0</v>
  </rv>
  <rv s="0">
    <fb>200.85</fb>
    <v>0</v>
  </rv>
  <rv s="0">
    <fb>259.06</fb>
    <v>0</v>
  </rv>
  <rv s="0">
    <fb>115.94</fb>
    <v>0</v>
  </rv>
  <rv s="0">
    <fb>1507</fb>
    <v>1</v>
  </rv>
  <rv s="0">
    <fb>65.06</fb>
    <v>0</v>
  </rv>
  <rv s="0">
    <fb>102.3</fb>
    <v>0</v>
  </rv>
  <rv s="0">
    <fb>70.64</fb>
    <v>0</v>
  </rv>
  <rv s="0">
    <fb>7.36</fb>
    <v>3</v>
  </rv>
  <rv s="0">
    <fb>12.53</fb>
    <v>0</v>
  </rv>
  <rv s="0">
    <fb>1207.23</fb>
    <v>0</v>
  </rv>
  <rv s="0">
    <fb>0.155</fb>
    <v>4</v>
  </rv>
  <rv s="0">
    <fb>190.57</fb>
    <v>0</v>
  </rv>
  <rv s="0">
    <fb>53.2</fb>
    <v>5</v>
  </rv>
  <rv s="0">
    <fb>102.8</fb>
    <v>0</v>
  </rv>
  <rv s="0">
    <fb>30.94</fb>
    <v>0</v>
  </rv>
  <rv s="0">
    <fb>365.19</fb>
    <v>0</v>
  </rv>
  <rv s="0">
    <fb>34.24</fb>
    <v>0</v>
  </rv>
  <rv s="0">
    <fb>205.17</fb>
    <v>0</v>
  </rv>
  <rv s="0">
    <fb>294.77999999999997</fb>
    <v>0</v>
  </rv>
  <rv s="0">
    <fb>101.645</fb>
    <v>0</v>
  </rv>
  <rv s="0">
    <fb>1390</fb>
    <v>1</v>
  </rv>
  <rv s="0">
    <fb>68.099999999999994</fb>
    <v>0</v>
  </rv>
  <rv s="0">
    <fb>107.8</fb>
    <v>0</v>
  </rv>
  <rv s="0">
    <fb>69.42</fb>
    <v>0</v>
  </rv>
  <rv s="0">
    <fb>0.45</fb>
    <v>2</v>
  </rv>
  <rv s="0">
    <fb>8.6999999999999993</fb>
    <v>3</v>
  </rv>
  <rv s="0">
    <fb>13.01</fb>
    <v>0</v>
  </rv>
  <rv s="0">
    <fb>1339.13</fb>
    <v>0</v>
  </rv>
  <rv s="0">
    <fb>0.16700000000000001</fb>
    <v>4</v>
  </rv>
  <rv s="0">
    <fb>172.26</fb>
    <v>0</v>
  </rv>
  <rv s="0">
    <fb>59.15</fb>
    <v>5</v>
  </rv>
  <rv s="0">
    <fb>105.07</fb>
    <v>0</v>
  </rv>
  <rv s="0">
    <fb>28.1</fb>
    <v>0</v>
  </rv>
  <rv s="0">
    <fb>355.05</fb>
    <v>0</v>
  </rv>
  <rv s="0">
    <fb>33.64</fb>
    <v>0</v>
  </rv>
  <rv s="0">
    <fb>207.57</fb>
    <v>0</v>
  </rv>
  <rv s="0">
    <fb>253.15</fb>
    <v>0</v>
  </rv>
  <rv s="0">
    <fb>105.76</fb>
    <v>0</v>
  </rv>
  <rv s="0">
    <fb>1418</fb>
    <v>1</v>
  </rv>
  <rv s="0">
    <fb>74.89</fb>
    <v>0</v>
  </rv>
  <rv s="0">
    <fb>111.64</fb>
    <v>0</v>
  </rv>
  <rv s="0">
    <fb>71.06</fb>
    <v>0</v>
  </rv>
  <rv s="0">
    <fb>0.39500000000000002</fb>
    <v>2</v>
  </rv>
  <rv s="0">
    <fb>7.4</fb>
    <v>3</v>
  </rv>
  <rv s="0">
    <fb>1159.4000000000001</fb>
    <v>0</v>
  </rv>
  <rv s="0">
    <fb>0.14199999999999999</fb>
    <v>4</v>
  </rv>
  <rv s="0">
    <fb>178.97</fb>
    <v>0</v>
  </rv>
  <rv s="0">
    <fb>58.3</fb>
    <v>5</v>
  </rv>
  <rv s="0">
    <fb>95.614999999999995</fb>
    <v>0</v>
  </rv>
  <rv s="0">
    <fb>345.47</fb>
    <v>0</v>
  </rv>
  <rv s="0">
    <fb>33.700000000000003</fb>
    <v>0</v>
  </rv>
  <rv s="0">
    <fb>232.14</fb>
    <v>0</v>
  </rv>
  <rv s="0">
    <fb>243.49</fb>
    <v>0</v>
  </rv>
  <rv s="0">
    <fb>99.95</fb>
    <v>0</v>
  </rv>
  <rv s="0">
    <fb>1452.5</fb>
    <v>1</v>
  </rv>
  <rv s="0">
    <fb>84.61</fb>
    <v>0</v>
  </rv>
  <rv s="0">
    <fb>114.29</fb>
    <v>0</v>
  </rv>
  <rv s="0">
    <fb>72.05</fb>
    <v>0</v>
  </rv>
  <rv s="0">
    <fb>0.30499999999999999</fb>
    <v>2</v>
  </rv>
  <rv s="0">
    <fb>7.81</fb>
    <v>3</v>
  </rv>
  <rv s="0">
    <fb>17.010000000000002</fb>
    <v>0</v>
  </rv>
  <rv s="0">
    <fb>1208.25</fb>
    <v>0</v>
  </rv>
  <rv s="0">
    <fb>0.14849999999999999</fb>
    <v>4</v>
  </rv>
  <rv s="0">
    <fb>194.57</fb>
    <v>0</v>
  </rv>
  <rv s="0">
    <fb>51.3</fb>
    <v>5</v>
  </rv>
  <rv s="0">
    <fb>94.24</fb>
    <v>0</v>
  </rv>
  <rv s="0">
    <fb>28.26</fb>
    <v>0</v>
  </rv>
  <rv s="0">
    <fb>351.78</fb>
    <v>0</v>
  </rv>
  <rv s="0">
    <fb>31.74</fb>
    <v>0</v>
  </rv>
  <rv s="1">
    <v>6</v>
    <v>NEE</v>
    <v>Monthly</v>
    <v>42217</v>
    <v>45900</v>
    <v>0</v>
    <v>1</v>
    <v>638920224000000000,638982968242600613,0</v>
    <v>0</v>
    <v>a1ye2w</v>
    <v>XNYS:NEE</v>
    <v>1</v>
  </rv>
  <rv s="1">
    <v>7</v>
    <v>PYR</v>
    <v>Monthly</v>
    <v>42217</v>
    <v>45900</v>
    <v>0</v>
    <v>1</v>
    <v>638920224000000000,638982968309689040,0</v>
    <v>0</v>
    <v>ab58xm</v>
    <v>XTSE:PYR</v>
    <v>2</v>
  </rv>
  <rv s="1">
    <v>6</v>
    <v>AAPL</v>
    <v>Monthly</v>
    <v>42217</v>
    <v>45900</v>
    <v>0</v>
    <v>1</v>
    <v>638920224000000000,638982966568771622,0</v>
    <v>0</v>
    <v>a1mou2</v>
    <v>XNAS:AAPL</v>
    <v>3</v>
  </rv>
  <rv s="1">
    <v>6</v>
    <v>INCY</v>
    <v>Monthly</v>
    <v>42217</v>
    <v>45900</v>
    <v>0</v>
    <v>1</v>
    <v>638920224000000000,638982967682144792,0</v>
    <v>0</v>
    <v>a1vjbh</v>
    <v>XNAS:INCY</v>
    <v>4</v>
  </rv>
  <rv s="1">
    <v>6</v>
    <v>IBN</v>
    <v>Monthly</v>
    <v>42217</v>
    <v>45900</v>
    <v>0</v>
    <v>1</v>
    <v>638920224000000000,638982968962295653,0</v>
    <v>0</v>
    <v>a1v78m</v>
    <v>XNYS:IBN</v>
    <v>5</v>
  </rv>
  <rv s="1">
    <v>8</v>
    <v>ATARI</v>
    <v>Monthly</v>
    <v>42217</v>
    <v>45900</v>
    <v>0</v>
    <v>1</v>
    <v>638920224000000000,638982968612686735,0</v>
    <v>0</v>
    <v>ae7sr7</v>
    <v>XPAR:ALATA</v>
    <v>6</v>
  </rv>
  <rv s="1">
    <v>6</v>
    <v>NFLX</v>
    <v>Monthly</v>
    <v>42217</v>
    <v>45900</v>
    <v>0</v>
    <v>1</v>
    <v>638920224000000000,638982968533099308,0</v>
    <v>0</v>
    <v>a1ygoc</v>
    <v>XNAS:NFLX</v>
    <v>7</v>
  </rv>
  <rv s="1">
    <v>6</v>
    <v>FINMY</v>
    <v>Monthly</v>
    <v>42217</v>
    <v>45900</v>
    <v>0</v>
    <v>1</v>
    <v>638920224000000000,638982968847122885,0</v>
    <v>0</v>
    <v>a2gpu2</v>
    <v>OTCM:FINMY</v>
    <v>8</v>
  </rv>
  <rv s="1">
    <v>6</v>
    <v>BAESY</v>
    <v>Monthly</v>
    <v>42217</v>
    <v>45900</v>
    <v>0</v>
    <v>1</v>
    <v>638920224000000000,638982968801920762,0</v>
    <v>0</v>
    <v>a299dm</v>
    <v>OTCM:BAESY</v>
    <v>9</v>
  </rv>
  <rv s="1">
    <v>6</v>
    <v>DSGX</v>
    <v>Monthly</v>
    <v>42217</v>
    <v>45900</v>
    <v>0</v>
    <v>1</v>
    <v>638920224000000000,638982967450631945,0</v>
    <v>0</v>
    <v>a1rb5r</v>
    <v>XNAS:DSGX</v>
    <v>10</v>
  </rv>
  <rv s="1">
    <v>9</v>
    <v>GSK</v>
    <v>Monthly</v>
    <v>42217</v>
    <v>45900</v>
    <v>0</v>
    <v>1</v>
    <v>638920224000000000,638982967578394429,0</v>
    <v>0</v>
    <v>ao95c7</v>
    <v>XLON:GSK</v>
    <v>11</v>
  </rv>
  <rv s="1">
    <v>6</v>
    <v>TM</v>
    <v>Monthly</v>
    <v>42217</v>
    <v>45900</v>
    <v>0</v>
    <v>1</v>
    <v>638920224000000000,638982968663870223,0</v>
    <v>0</v>
    <v>a24bh7</v>
    <v>XNYS:TM</v>
    <v>12</v>
  </rv>
  <rv s="1">
    <v>10</v>
    <v>PMPC</v>
    <v>Monthly</v>
    <v>42217</v>
    <v>45900</v>
    <v>0</v>
    <v>1</v>
    <v>638920224000000000,638982968381119450,0</v>
    <v>0</v>
    <v>alw1m7</v>
    <v>XPHS:PMPC</v>
    <v>13</v>
  </rv>
  <rv s="1">
    <v>6</v>
    <v>XOM</v>
    <v>Monthly</v>
    <v>42217</v>
    <v>45900</v>
    <v>0</v>
    <v>1</v>
    <v>638920224000000000,638982968005388807,0</v>
    <v>0</v>
    <v>a269ec</v>
    <v>XNYS:XOM</v>
    <v>14</v>
  </rv>
  <rv s="1">
    <v>6</v>
    <v>V</v>
    <v>Monthly</v>
    <v>42217</v>
    <v>45900</v>
    <v>0</v>
    <v>1</v>
    <v>638920224000000000,638982968892647226,0</v>
    <v>0</v>
    <v>a256cw</v>
    <v>XNYS:V</v>
    <v>15</v>
  </rv>
  <rv s="1">
    <v>6</v>
    <v>ARCT</v>
    <v>Monthly</v>
    <v>42217</v>
    <v>45900</v>
    <v>0</v>
    <v>1</v>
    <v>638920224000000000,638982968465049787,0</v>
    <v>0</v>
    <v>aw1vrw</v>
    <v>XNAS:ARCT</v>
    <v>16</v>
  </rv>
  <rv s="1">
    <v>6</v>
    <v>IBM</v>
    <v>Monthly</v>
    <v>42217</v>
    <v>45900</v>
    <v>0</v>
    <v>1</v>
    <v>638920224000000000,638982967265044506,0</v>
    <v>0</v>
    <v>a1v6nm</v>
    <v>XNYS:IBM</v>
    <v>17</v>
  </rv>
  <rv s="1">
    <v>11</v>
    <v>TXT</v>
    <v>Monthly</v>
    <v>42217</v>
    <v>45900</v>
    <v>0</v>
    <v>1</v>
    <v>638920224000000000,638982968739894947,0</v>
    <v>0</v>
    <v>aqclfr</v>
    <v>XWAR:TXT</v>
    <v>18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12">
    <spb s="0">
      <v>1</v>
    </spb>
    <spb s="0">
      <v>2</v>
    </spb>
    <spb s="0">
      <v>3</v>
    </spb>
    <spb s="0">
      <v>4</v>
    </spb>
    <spb s="0">
      <v>5</v>
    </spb>
    <spb s="0">
      <v>6</v>
    </spb>
    <spb s="1">
      <v>7</v>
      <v>1</v>
    </spb>
    <spb s="1">
      <v>7</v>
      <v>3</v>
    </spb>
    <spb s="1">
      <v>7</v>
      <v>5</v>
    </spb>
    <spb s="1">
      <v>7</v>
      <v>2</v>
    </spb>
    <spb s="1">
      <v>7</v>
      <v>4</v>
    </spb>
    <spb s="1">
      <v>7</v>
      <v>6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yyyy/mm/dd"/>
    </x:dxf>
    <x:dxf>
      <x:numFmt numFmtId="0" formatCode="General"/>
    </x:dxf>
    <x:dxf>
      <x:numFmt numFmtId="35" formatCode="_(* #,##0.00_);_(* \(#,##0.00\);_(* &quot;-&quot;??_);_(@_)"/>
    </x:dxf>
  </dxfs>
  <richProperties>
    <rPr n="NumberFormat" t="s"/>
  </richProperties>
  <richStyles>
    <rSty dxfid="1">
      <rpv i="0">_([$$-en-US]* #,##0.00_);_([$$-en-US]* (#,##0.00);_([$$-en-US]* "-"??_);_(@_)</rpv>
    </rSty>
    <rSty dxfid="2">
      <rpv i="0">_(* #,##0.00_);_(* (#,##0.00);_(* "-"??_);_(@_)</rpv>
    </rSty>
    <rSty dxfid="1">
      <rpv i="0">_([$$-en-CA]* #,##0.00_);_([$$-en-CA]* (#,##0.00);_([$$-en-CA]* "-"??_);_(@_)</rpv>
    </rSty>
    <rSty dxfid="1">
      <rpv i="0">_([$₱-en-PH]* #,##0.00_);_([$₱-en-PH]* (#,##0.00);_([$₱-en-PH]* "-"??_);_(@_)</rpv>
    </rSty>
    <rSty dxfid="1">
      <rpv i="0">_([$€-x-euro2] * #,##0.00_);_([$€-x-euro2] * (#,##0.00);_([$€-x-euro2] * "-"??_);_(@_)</rpv>
    </rSty>
    <rSty dxfid="1">
      <rpv i="0" xml:space="preserve">_ * #,##0.00_) [$zł-pl-PL]_ ;_ * (#,##0.00) [$zł-pl-PL]_ ;_ * "-"??_) [$zł-pl-PL]_ ;_ @_ 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D570-F83B-F949-91FD-5AD48D7736CB}">
  <dimension ref="A1:T124"/>
  <sheetViews>
    <sheetView tabSelected="1" zoomScaleNormal="125" workbookViewId="0">
      <selection activeCell="P6" sqref="P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"/>
    </row>
    <row r="2" spans="1:20" ht="68" x14ac:dyDescent="0.2">
      <c r="C2" s="3" t="s">
        <v>16</v>
      </c>
      <c r="D2" s="3"/>
      <c r="E2" s="3"/>
      <c r="F2" s="3" t="s">
        <v>18</v>
      </c>
      <c r="G2" s="3"/>
      <c r="H2" s="3" t="s">
        <v>19</v>
      </c>
      <c r="I2" s="3"/>
      <c r="J2" s="3"/>
      <c r="K2" s="2" t="s">
        <v>25</v>
      </c>
      <c r="L2" s="3" t="s">
        <v>20</v>
      </c>
      <c r="M2" s="3"/>
      <c r="N2" s="3"/>
      <c r="O2" s="3" t="s">
        <v>21</v>
      </c>
      <c r="P2" s="3"/>
      <c r="Q2" s="4" t="s">
        <v>22</v>
      </c>
      <c r="R2" s="4"/>
      <c r="S2" s="3" t="s">
        <v>23</v>
      </c>
      <c r="T2" s="3"/>
    </row>
    <row r="3" spans="1:20" ht="17" x14ac:dyDescent="0.2">
      <c r="C3" t="s">
        <v>26</v>
      </c>
      <c r="D3" t="s">
        <v>15</v>
      </c>
      <c r="E3" s="2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24</v>
      </c>
      <c r="O3" t="s">
        <v>36</v>
      </c>
      <c r="P3" t="s">
        <v>37</v>
      </c>
      <c r="Q3" t="s">
        <v>17</v>
      </c>
      <c r="R3" t="s">
        <v>38</v>
      </c>
      <c r="S3" t="s">
        <v>39</v>
      </c>
      <c r="T3" t="s">
        <v>40</v>
      </c>
    </row>
    <row r="4" spans="1:20" x14ac:dyDescent="0.2">
      <c r="A4">
        <v>2015</v>
      </c>
      <c r="B4" t="s">
        <v>14</v>
      </c>
      <c r="C4" cm="1" vm="1">
        <f t="array" aca="1" ref="C4:C124" ca="1" xml:space="preserve"> _xlfn.STOCKHISTORY("AAPL", DATE(2015, 8, 29), DATE(2025, 8, 29), 2,0,1 )</f>
        <v>28.19</v>
      </c>
      <c r="D4" cm="1" vm="2">
        <f t="array" aca="1" ref="D4:D124" ca="1" xml:space="preserve"> _xlfn.STOCKHISTORY("IBM", DATE(2015, 8, 29), DATE(2025, 8, 29), 2,0,1 )</f>
        <v>147.88999999999999</v>
      </c>
      <c r="E4" cm="1" vm="3">
        <f t="array" aca="1" ref="E4:E124" ca="1" xml:space="preserve"> _xlfn.STOCKHISTORY("DSGX", DATE(2015, 8, 29), DATE(2025, 8, 29), 2,0,1 )</f>
        <v>17.27</v>
      </c>
      <c r="F4" cm="1" vm="4">
        <f t="array" aca="1" ref="F4:F124" ca="1" xml:space="preserve"> _xlfn.STOCKHISTORY("GSK", DATE(2015, 8, 29), DATE(2025, 8, 29), 2,0,1 )</f>
        <v>1334.972</v>
      </c>
      <c r="G4" cm="1" vm="5">
        <f t="array" aca="1" ref="G4:G124" ca="1" xml:space="preserve"> _xlfn.STOCKHISTORY("INCY", DATE(2015, 8, 29), DATE(2025, 8, 29), 2,0,1 )</f>
        <v>116.19</v>
      </c>
      <c r="H4" cm="1" vm="6">
        <f t="array" aca="1" ref="H4:H124" ca="1" xml:space="preserve"> _xlfn.STOCKHISTORY("XOM", DATE(2015, 8, 29), DATE(2025, 8, 29), 2,0,1 )</f>
        <v>75.239999999999995</v>
      </c>
      <c r="I4" cm="1" vm="7">
        <f t="array" aca="1" ref="I4:I124" ca="1" xml:space="preserve"> _xlfn.STOCKHISTORY("NEE", DATE(2015, 8, 29), DATE(2025, 8, 29), 2,0,1 )</f>
        <v>24.602499999999999</v>
      </c>
      <c r="J4" cm="1" vm="8">
        <f t="array" aca="1" ref="J4:J124" ca="1" xml:space="preserve"> _xlfn.STOCKHISTORY("PYR", DATE(2015, 8, 29), DATE(2025, 8, 29), 2,0,1 )</f>
        <v>0.33500000000000002</v>
      </c>
      <c r="K4" cm="1" vm="9">
        <f t="array" aca="1" ref="K4:K124" ca="1" xml:space="preserve"> _xlfn.STOCKHISTORY("PMPC", DATE(2015, 8, 29), DATE(2025, 8, 29), 2,0,1 )</f>
        <v>3.6682999999999999</v>
      </c>
      <c r="L4" cm="1" vm="10">
        <f t="array" aca="1" ref="L4:L124" ca="1" xml:space="preserve"> _xlfn.STOCKHISTORY("ARCT", DATE(2015, 8, 29), DATE(2025, 8, 29), 2,0,1 )</f>
        <v>53.76</v>
      </c>
      <c r="M4" cm="1" vm="11">
        <f t="array" aca="1" ref="M4:M124" ca="1" xml:space="preserve"> _xlfn.STOCKHISTORY("NFLX", DATE(2015, 8, 29), DATE(2025, 8, 29), 2,0,1 )</f>
        <v>115.03</v>
      </c>
      <c r="N4" cm="1" vm="12">
        <f t="array" aca="1" ref="N4:N124" ca="1" xml:space="preserve"> _xlfn.STOCKHISTORY("ATARI", DATE(2015, 8, 29), DATE(2025, 8, 29), 2,0,1 )</f>
        <v>0.1787</v>
      </c>
      <c r="O4" cm="1" vm="13">
        <f t="array" aca="1" ref="O4:O124" ca="1" xml:space="preserve"> _xlfn.STOCKHISTORY("TM", DATE(2015, 8, 29), DATE(2025, 8, 29), 2,0,1 )</f>
        <v>118.38</v>
      </c>
      <c r="P4" cm="1" vm="14">
        <f t="array" aca="1" ref="P4:P124" ca="1" xml:space="preserve"> _xlfn.STOCKHISTORY("TXT", DATE(2015, 8, 29), DATE(2025, 8, 29), 2,0,1 )</f>
        <v>30.1</v>
      </c>
      <c r="Q4" cm="1" vm="15">
        <f t="array" aca="1" ref="Q4:Q124" ca="1" xml:space="preserve"> _xlfn.STOCKHISTORY("BAESY", DATE(2015, 8, 29), DATE(2025, 8, 29), 2,0,1 )</f>
        <v>27.56</v>
      </c>
      <c r="R4" cm="1" vm="16">
        <f t="array" aca="1" ref="R4:R124" ca="1" xml:space="preserve"> _xlfn.STOCKHISTORY("FINMY", DATE(2015, 8, 29), DATE(2025, 8, 29), 2,0,1 )</f>
        <v>6.73</v>
      </c>
      <c r="S4" cm="1" vm="17">
        <f t="array" aca="1" ref="S4:S124" ca="1" xml:space="preserve"> _xlfn.STOCKHISTORY("V", DATE(2015, 8, 29), DATE(2025, 8, 29), 2,0,1 )</f>
        <v>71.3</v>
      </c>
      <c r="T4" cm="1" vm="18">
        <f t="array" aca="1" ref="T4:T124" ca="1" xml:space="preserve"> _xlfn.STOCKHISTORY("IBN", DATE(2015, 8, 29), DATE(2025, 8, 29), 2,0,1)</f>
        <v>7.9272999999999998</v>
      </c>
    </row>
    <row r="5" spans="1:20" x14ac:dyDescent="0.2">
      <c r="B5" t="s">
        <v>3</v>
      </c>
      <c r="C5" vm="19">
        <f ca="1"/>
        <v>27.574999999999999</v>
      </c>
      <c r="D5" vm="20">
        <f ca="1"/>
        <v>144.97</v>
      </c>
      <c r="E5" vm="21">
        <f ca="1"/>
        <v>17.690000000000001</v>
      </c>
      <c r="F5" vm="22">
        <f ca="1"/>
        <v>1260.7791999999999</v>
      </c>
      <c r="G5" vm="23">
        <f ca="1"/>
        <v>110.33</v>
      </c>
      <c r="H5" vm="24">
        <f ca="1"/>
        <v>74.349999999999994</v>
      </c>
      <c r="I5" vm="25">
        <f ca="1"/>
        <v>24.387499999999999</v>
      </c>
      <c r="J5" vm="26">
        <f ca="1"/>
        <v>0.26</v>
      </c>
      <c r="K5" vm="27">
        <f ca="1"/>
        <v>3.5565000000000002</v>
      </c>
      <c r="L5" vm="28">
        <f ca="1"/>
        <v>42.28</v>
      </c>
      <c r="M5" vm="29">
        <f ca="1"/>
        <v>103.26</v>
      </c>
      <c r="N5" vm="30">
        <f ca="1"/>
        <v>0.16930000000000001</v>
      </c>
      <c r="O5" vm="31">
        <f ca="1"/>
        <v>117.28</v>
      </c>
      <c r="P5" vm="32">
        <f ca="1"/>
        <v>31.22</v>
      </c>
      <c r="Q5" vm="33">
        <f ca="1"/>
        <v>27.01</v>
      </c>
      <c r="R5" vm="34">
        <f ca="1"/>
        <v>6.2050000000000001</v>
      </c>
      <c r="S5" vm="35">
        <f ca="1"/>
        <v>69.66</v>
      </c>
      <c r="T5" vm="36">
        <f ca="1"/>
        <v>7.6181999999999999</v>
      </c>
    </row>
    <row r="6" spans="1:20" x14ac:dyDescent="0.2">
      <c r="B6" t="s">
        <v>4</v>
      </c>
      <c r="C6" vm="37">
        <f ca="1"/>
        <v>29.875</v>
      </c>
      <c r="D6" vm="38">
        <f ca="1"/>
        <v>140.08000000000001</v>
      </c>
      <c r="E6" vm="39">
        <f ca="1"/>
        <v>17.489999999999998</v>
      </c>
      <c r="F6" vm="40">
        <f ca="1"/>
        <v>1399.2059999999999</v>
      </c>
      <c r="G6" vm="41">
        <f ca="1"/>
        <v>117.53</v>
      </c>
      <c r="H6" vm="42">
        <f ca="1"/>
        <v>82.74</v>
      </c>
      <c r="I6" vm="43">
        <f ca="1"/>
        <v>25.664999999999999</v>
      </c>
      <c r="J6" vm="44">
        <f ca="1"/>
        <v>0.245</v>
      </c>
      <c r="K6" vm="45">
        <f ca="1"/>
        <v>3.5937999999999999</v>
      </c>
      <c r="L6" vm="46">
        <f ca="1"/>
        <v>58.31</v>
      </c>
      <c r="M6" vm="47">
        <f ca="1"/>
        <v>108.38</v>
      </c>
      <c r="N6" vm="12">
        <f ca="1"/>
        <v>0.1787</v>
      </c>
      <c r="O6" vm="48">
        <f ca="1"/>
        <v>122.62</v>
      </c>
      <c r="P6" vm="49">
        <f ca="1"/>
        <v>34.43</v>
      </c>
      <c r="Q6" vm="50">
        <f ca="1"/>
        <v>27.05</v>
      </c>
      <c r="R6" vm="51">
        <f ca="1"/>
        <v>6.54</v>
      </c>
      <c r="S6" vm="52">
        <f ca="1"/>
        <v>77.58</v>
      </c>
      <c r="T6" vm="53">
        <f ca="1"/>
        <v>7.8364000000000003</v>
      </c>
    </row>
    <row r="7" spans="1:20" x14ac:dyDescent="0.2">
      <c r="B7" t="s">
        <v>5</v>
      </c>
      <c r="C7" vm="54">
        <f ca="1"/>
        <v>29.574999999999999</v>
      </c>
      <c r="D7" vm="55">
        <f ca="1"/>
        <v>139.41999999999999</v>
      </c>
      <c r="E7" vm="56">
        <f ca="1"/>
        <v>19.97</v>
      </c>
      <c r="F7" vm="57">
        <f ca="1"/>
        <v>1349.9102</v>
      </c>
      <c r="G7" vm="58">
        <f ca="1"/>
        <v>114.24</v>
      </c>
      <c r="H7" vm="59">
        <f ca="1"/>
        <v>81.66</v>
      </c>
      <c r="I7" vm="60">
        <f ca="1"/>
        <v>24.965</v>
      </c>
      <c r="J7" vm="61">
        <f ca="1"/>
        <v>0.22</v>
      </c>
      <c r="K7" vm="62">
        <f ca="1"/>
        <v>3.6497000000000002</v>
      </c>
      <c r="L7" vm="63">
        <f ca="1"/>
        <v>46.13</v>
      </c>
      <c r="M7" vm="64">
        <f ca="1"/>
        <v>123.33</v>
      </c>
      <c r="N7" vm="65">
        <f ca="1"/>
        <v>0.15989999999999999</v>
      </c>
      <c r="O7" vm="66">
        <f ca="1"/>
        <v>124.42</v>
      </c>
      <c r="P7" vm="67">
        <f ca="1"/>
        <v>39.700000000000003</v>
      </c>
      <c r="Q7" vm="68">
        <f ca="1"/>
        <v>31</v>
      </c>
      <c r="R7" vm="69">
        <f ca="1"/>
        <v>7.16</v>
      </c>
      <c r="S7" vm="70">
        <f ca="1"/>
        <v>79.010000000000005</v>
      </c>
      <c r="T7" vm="71">
        <f ca="1"/>
        <v>7.5545</v>
      </c>
    </row>
    <row r="8" spans="1:20" x14ac:dyDescent="0.2">
      <c r="A8">
        <v>2016</v>
      </c>
      <c r="B8" t="s">
        <v>6</v>
      </c>
      <c r="C8" vm="72">
        <f ca="1"/>
        <v>26.315000000000001</v>
      </c>
      <c r="D8" vm="73">
        <f ca="1"/>
        <v>137.62</v>
      </c>
      <c r="E8" vm="74">
        <f ca="1"/>
        <v>20.079999999999998</v>
      </c>
      <c r="F8" vm="75">
        <f ca="1"/>
        <v>1367.338</v>
      </c>
      <c r="G8" vm="76">
        <f ca="1"/>
        <v>108.45</v>
      </c>
      <c r="H8" vm="77">
        <f ca="1"/>
        <v>77.95</v>
      </c>
      <c r="I8" vm="78">
        <f ca="1"/>
        <v>25.9725</v>
      </c>
      <c r="J8" vm="61">
        <f ca="1"/>
        <v>0.22</v>
      </c>
      <c r="K8" vm="79">
        <f ca="1"/>
        <v>3.6776</v>
      </c>
      <c r="L8" vm="80">
        <f ca="1"/>
        <v>43.96</v>
      </c>
      <c r="M8" vm="81">
        <f ca="1"/>
        <v>114.38</v>
      </c>
      <c r="N8" vm="82">
        <f ca="1"/>
        <v>0.12230000000000001</v>
      </c>
      <c r="O8" vm="83">
        <f ca="1"/>
        <v>123.04</v>
      </c>
      <c r="P8" vm="84">
        <f ca="1"/>
        <v>38.909999999999997</v>
      </c>
      <c r="Q8" vm="85">
        <f ca="1"/>
        <v>29.454999999999998</v>
      </c>
      <c r="R8" vm="86">
        <f ca="1"/>
        <v>6.91</v>
      </c>
      <c r="S8" vm="87">
        <f ca="1"/>
        <v>77.55</v>
      </c>
      <c r="T8" vm="88">
        <f ca="1"/>
        <v>7.1181999999999999</v>
      </c>
    </row>
    <row r="9" spans="1:20" x14ac:dyDescent="0.2">
      <c r="B9" t="s">
        <v>7</v>
      </c>
      <c r="C9" vm="89">
        <f ca="1"/>
        <v>24.335000000000001</v>
      </c>
      <c r="D9" vm="90">
        <f ca="1"/>
        <v>124.79</v>
      </c>
      <c r="E9" vm="91">
        <f ca="1"/>
        <v>17.8</v>
      </c>
      <c r="F9" vm="92">
        <f ca="1"/>
        <v>1433.0658000000001</v>
      </c>
      <c r="G9" vm="93">
        <f ca="1"/>
        <v>70.56</v>
      </c>
      <c r="H9" vm="94">
        <f ca="1"/>
        <v>77.849999999999994</v>
      </c>
      <c r="I9" vm="95">
        <f ca="1"/>
        <v>27.927499999999998</v>
      </c>
      <c r="J9" vm="96">
        <f ca="1"/>
        <v>0.19</v>
      </c>
      <c r="K9" vm="97">
        <f ca="1"/>
        <v>3.7614000000000001</v>
      </c>
      <c r="L9" vm="98">
        <f ca="1"/>
        <v>35.840000000000003</v>
      </c>
      <c r="M9" vm="99">
        <f ca="1"/>
        <v>91.84</v>
      </c>
      <c r="N9" vm="82">
        <f ca="1"/>
        <v>0.12230000000000001</v>
      </c>
      <c r="O9" vm="100">
        <f ca="1"/>
        <v>120.03</v>
      </c>
      <c r="P9" vm="101">
        <f ca="1"/>
        <v>37.93</v>
      </c>
      <c r="Q9" vm="102">
        <f ca="1"/>
        <v>29.59</v>
      </c>
      <c r="R9" vm="103">
        <f ca="1"/>
        <v>5.93</v>
      </c>
      <c r="S9" vm="104">
        <f ca="1"/>
        <v>74.489999999999995</v>
      </c>
      <c r="T9" vm="105">
        <f ca="1"/>
        <v>6.0454999999999997</v>
      </c>
    </row>
    <row r="10" spans="1:20" x14ac:dyDescent="0.2">
      <c r="B10" t="s">
        <v>8</v>
      </c>
      <c r="C10" vm="106">
        <f ca="1"/>
        <v>24.172499999999999</v>
      </c>
      <c r="D10" vm="107">
        <f ca="1"/>
        <v>131.03</v>
      </c>
      <c r="E10" vm="108">
        <f ca="1"/>
        <v>17.079999999999998</v>
      </c>
      <c r="F10" vm="109">
        <f ca="1"/>
        <v>1413.5825</v>
      </c>
      <c r="G10" vm="110">
        <f ca="1"/>
        <v>73.5</v>
      </c>
      <c r="H10" vm="111">
        <f ca="1"/>
        <v>80.150000000000006</v>
      </c>
      <c r="I10" vm="112">
        <f ca="1"/>
        <v>28.204999999999998</v>
      </c>
      <c r="J10" vm="113">
        <f ca="1"/>
        <v>0.185</v>
      </c>
      <c r="K10" vm="114">
        <f ca="1"/>
        <v>3.7334000000000001</v>
      </c>
      <c r="L10" vm="115">
        <f ca="1"/>
        <v>32.619999999999997</v>
      </c>
      <c r="M10" vm="116">
        <f ca="1"/>
        <v>93.41</v>
      </c>
      <c r="N10" vm="82">
        <f ca="1"/>
        <v>0.12230000000000001</v>
      </c>
      <c r="O10" vm="117">
        <f ca="1"/>
        <v>104.1</v>
      </c>
      <c r="P10" vm="118">
        <f ca="1"/>
        <v>35.770000000000003</v>
      </c>
      <c r="Q10" vm="119">
        <f ca="1"/>
        <v>28.3</v>
      </c>
      <c r="R10" vm="120">
        <f ca="1"/>
        <v>5.14</v>
      </c>
      <c r="S10" vm="121">
        <f ca="1"/>
        <v>72.39</v>
      </c>
      <c r="T10" vm="122">
        <f ca="1"/>
        <v>5.1544999999999996</v>
      </c>
    </row>
    <row r="11" spans="1:20" x14ac:dyDescent="0.2">
      <c r="B11" t="s">
        <v>9</v>
      </c>
      <c r="C11" vm="123">
        <f ca="1"/>
        <v>27.247499999999999</v>
      </c>
      <c r="D11" vm="124">
        <f ca="1"/>
        <v>151.44999999999999</v>
      </c>
      <c r="E11" vm="125">
        <f ca="1"/>
        <v>19.510000000000002</v>
      </c>
      <c r="F11" vm="126">
        <f ca="1"/>
        <v>1426.2083</v>
      </c>
      <c r="G11" vm="127">
        <f ca="1"/>
        <v>72.47</v>
      </c>
      <c r="H11" vm="128">
        <f ca="1"/>
        <v>83.59</v>
      </c>
      <c r="I11" vm="129">
        <f ca="1"/>
        <v>29.585000000000001</v>
      </c>
      <c r="J11" vm="130">
        <f ca="1"/>
        <v>0.18</v>
      </c>
      <c r="K11" vm="131">
        <f ca="1"/>
        <v>4.5621</v>
      </c>
      <c r="L11" vm="132">
        <f ca="1"/>
        <v>26.53</v>
      </c>
      <c r="M11" vm="133">
        <f ca="1"/>
        <v>102.23</v>
      </c>
      <c r="N11" vm="82">
        <f ca="1"/>
        <v>0.12230000000000001</v>
      </c>
      <c r="O11" vm="134">
        <f ca="1"/>
        <v>106.32</v>
      </c>
      <c r="P11" vm="135">
        <f ca="1"/>
        <v>36.49</v>
      </c>
      <c r="Q11" vm="136">
        <f ca="1"/>
        <v>29.215</v>
      </c>
      <c r="R11" vm="137">
        <f ca="1"/>
        <v>6.26</v>
      </c>
      <c r="S11" vm="138">
        <f ca="1"/>
        <v>76.48</v>
      </c>
      <c r="T11" vm="139">
        <f ca="1"/>
        <v>6.5091000000000001</v>
      </c>
    </row>
    <row r="12" spans="1:20" x14ac:dyDescent="0.2">
      <c r="B12" t="s">
        <v>10</v>
      </c>
      <c r="C12" vm="140">
        <f ca="1"/>
        <v>23.434999999999999</v>
      </c>
      <c r="D12" vm="141">
        <f ca="1"/>
        <v>145.94</v>
      </c>
      <c r="E12" vm="142">
        <f ca="1"/>
        <v>18.43</v>
      </c>
      <c r="F12" vm="143">
        <f ca="1"/>
        <v>1473.6812</v>
      </c>
      <c r="G12" vm="144">
        <f ca="1"/>
        <v>72.27</v>
      </c>
      <c r="H12" vm="145">
        <f ca="1"/>
        <v>88.4</v>
      </c>
      <c r="I12" vm="146">
        <f ca="1"/>
        <v>29.395</v>
      </c>
      <c r="J12" vm="147">
        <f ca="1"/>
        <v>0.28000000000000003</v>
      </c>
      <c r="K12" vm="148">
        <f ca="1"/>
        <v>3.9569000000000001</v>
      </c>
      <c r="L12" vm="149">
        <f ca="1"/>
        <v>28.07</v>
      </c>
      <c r="M12" vm="150">
        <f ca="1"/>
        <v>90.03</v>
      </c>
      <c r="N12" vm="82">
        <f ca="1"/>
        <v>0.12230000000000001</v>
      </c>
      <c r="O12" vm="151">
        <f ca="1"/>
        <v>101.7</v>
      </c>
      <c r="P12" vm="152">
        <f ca="1"/>
        <v>40.64</v>
      </c>
      <c r="Q12" vm="153">
        <f ca="1"/>
        <v>27.94</v>
      </c>
      <c r="R12" vm="154">
        <f ca="1"/>
        <v>6.2850000000000001</v>
      </c>
      <c r="S12" vm="155">
        <f ca="1"/>
        <v>77.239999999999995</v>
      </c>
      <c r="T12" vm="156">
        <f ca="1"/>
        <v>6.4090999999999996</v>
      </c>
    </row>
    <row r="13" spans="1:20" x14ac:dyDescent="0.2">
      <c r="B13" t="s">
        <v>11</v>
      </c>
      <c r="C13" vm="60">
        <f ca="1"/>
        <v>24.965</v>
      </c>
      <c r="D13" vm="157">
        <f ca="1"/>
        <v>153.74</v>
      </c>
      <c r="E13" vm="158">
        <f ca="1"/>
        <v>20.94</v>
      </c>
      <c r="F13" vm="159">
        <f ca="1"/>
        <v>1459.5402999999999</v>
      </c>
      <c r="G13" vm="160">
        <f ca="1"/>
        <v>84.41</v>
      </c>
      <c r="H13" vm="161">
        <f ca="1"/>
        <v>89.02</v>
      </c>
      <c r="I13" vm="162">
        <f ca="1"/>
        <v>30.03</v>
      </c>
      <c r="J13" vm="163">
        <f ca="1"/>
        <v>0.24</v>
      </c>
      <c r="K13" vm="164">
        <f ca="1"/>
        <v>4.2733999999999996</v>
      </c>
      <c r="L13" vm="165">
        <f ca="1"/>
        <v>37.24</v>
      </c>
      <c r="M13" vm="166">
        <f ca="1"/>
        <v>102.57</v>
      </c>
      <c r="N13" vm="82">
        <f ca="1"/>
        <v>0.12230000000000001</v>
      </c>
      <c r="O13" vm="167">
        <f ca="1"/>
        <v>103.41</v>
      </c>
      <c r="P13" vm="168">
        <f ca="1"/>
        <v>41.07</v>
      </c>
      <c r="Q13" vm="169">
        <f ca="1"/>
        <v>27.984999999999999</v>
      </c>
      <c r="R13" vm="170">
        <f ca="1"/>
        <v>5.875</v>
      </c>
      <c r="S13" vm="171">
        <f ca="1"/>
        <v>78.94</v>
      </c>
      <c r="T13" vm="172">
        <f ca="1"/>
        <v>6.5364000000000004</v>
      </c>
    </row>
    <row r="14" spans="1:20" x14ac:dyDescent="0.2">
      <c r="B14" t="s">
        <v>12</v>
      </c>
      <c r="C14" vm="173">
        <f ca="1"/>
        <v>23.9</v>
      </c>
      <c r="D14" vm="174">
        <f ca="1"/>
        <v>151.78</v>
      </c>
      <c r="E14" vm="175">
        <f ca="1"/>
        <v>19.09</v>
      </c>
      <c r="F14" vm="176">
        <f ca="1"/>
        <v>1620.6452999999999</v>
      </c>
      <c r="G14" vm="177">
        <f ca="1"/>
        <v>79.98</v>
      </c>
      <c r="H14" vm="178">
        <f ca="1"/>
        <v>93.74</v>
      </c>
      <c r="I14" vm="179">
        <f ca="1"/>
        <v>32.6</v>
      </c>
      <c r="J14" vm="163">
        <f ca="1"/>
        <v>0.24</v>
      </c>
      <c r="K14" vm="180">
        <f ca="1"/>
        <v>3.9197000000000002</v>
      </c>
      <c r="L14" vm="181">
        <f ca="1"/>
        <v>31.43</v>
      </c>
      <c r="M14" vm="182">
        <f ca="1"/>
        <v>91.48</v>
      </c>
      <c r="N14" vm="82">
        <f ca="1"/>
        <v>0.12230000000000001</v>
      </c>
      <c r="O14" vm="183">
        <f ca="1"/>
        <v>99.99</v>
      </c>
      <c r="P14" vm="184">
        <f ca="1"/>
        <v>46.63</v>
      </c>
      <c r="Q14" vm="185">
        <f ca="1"/>
        <v>28.31</v>
      </c>
      <c r="R14" vm="186">
        <f ca="1"/>
        <v>5</v>
      </c>
      <c r="S14" vm="187">
        <f ca="1"/>
        <v>74.17</v>
      </c>
      <c r="T14" vm="188">
        <f ca="1"/>
        <v>6.5273000000000003</v>
      </c>
    </row>
    <row r="15" spans="1:20" x14ac:dyDescent="0.2">
      <c r="B15" t="s">
        <v>13</v>
      </c>
      <c r="C15" vm="189">
        <f ca="1"/>
        <v>26.052499999999998</v>
      </c>
      <c r="D15" vm="190">
        <f ca="1"/>
        <v>160.62</v>
      </c>
      <c r="E15" vm="191">
        <f ca="1"/>
        <v>20.2</v>
      </c>
      <c r="F15" vm="192">
        <f ca="1"/>
        <v>1704.9855</v>
      </c>
      <c r="G15" vm="193">
        <f ca="1"/>
        <v>90.21</v>
      </c>
      <c r="H15" vm="194">
        <f ca="1"/>
        <v>88.95</v>
      </c>
      <c r="I15" vm="195">
        <f ca="1"/>
        <v>32.072499999999998</v>
      </c>
      <c r="J15" vm="196">
        <f ca="1"/>
        <v>0.255</v>
      </c>
      <c r="K15" vm="197">
        <f ca="1"/>
        <v>4.1710000000000003</v>
      </c>
      <c r="L15" vm="198">
        <f ca="1"/>
        <v>29.96</v>
      </c>
      <c r="M15" vm="199">
        <f ca="1"/>
        <v>91.25</v>
      </c>
      <c r="N15" vm="82">
        <f ca="1"/>
        <v>0.12230000000000001</v>
      </c>
      <c r="O15" vm="200">
        <f ca="1"/>
        <v>111.6</v>
      </c>
      <c r="P15" vm="201">
        <f ca="1"/>
        <v>47</v>
      </c>
      <c r="Q15" vm="202">
        <f ca="1"/>
        <v>28.32</v>
      </c>
      <c r="R15" vm="203">
        <f ca="1"/>
        <v>5.7</v>
      </c>
      <c r="S15" vm="204">
        <f ca="1"/>
        <v>78.05</v>
      </c>
      <c r="T15" vm="205">
        <f ca="1"/>
        <v>6.8909000000000002</v>
      </c>
    </row>
    <row r="16" spans="1:20" x14ac:dyDescent="0.2">
      <c r="B16" t="s">
        <v>14</v>
      </c>
      <c r="C16" vm="206">
        <f ca="1"/>
        <v>26.524999999999999</v>
      </c>
      <c r="D16" vm="207">
        <f ca="1"/>
        <v>158.88</v>
      </c>
      <c r="E16" vm="208">
        <f ca="1"/>
        <v>21.32</v>
      </c>
      <c r="F16" vm="209">
        <f ca="1"/>
        <v>1655.4924000000001</v>
      </c>
      <c r="G16" vm="210">
        <f ca="1"/>
        <v>81.099999999999994</v>
      </c>
      <c r="H16" vm="211">
        <f ca="1"/>
        <v>87.14</v>
      </c>
      <c r="I16" vm="212">
        <f ca="1"/>
        <v>30.234999999999999</v>
      </c>
      <c r="J16" vm="213">
        <f ca="1"/>
        <v>0.19500000000000001</v>
      </c>
      <c r="K16" vm="214">
        <f ca="1"/>
        <v>4.5434000000000001</v>
      </c>
      <c r="L16" vm="215">
        <f ca="1"/>
        <v>34.44</v>
      </c>
      <c r="M16" vm="216">
        <f ca="1"/>
        <v>97.45</v>
      </c>
      <c r="N16" vm="82">
        <f ca="1"/>
        <v>0.12230000000000001</v>
      </c>
      <c r="O16" vm="217">
        <f ca="1"/>
        <v>120.63</v>
      </c>
      <c r="P16" vm="218">
        <f ca="1"/>
        <v>48.99</v>
      </c>
      <c r="Q16" vm="219">
        <f ca="1"/>
        <v>28.285</v>
      </c>
      <c r="R16" vm="220">
        <f ca="1"/>
        <v>5.6340000000000003</v>
      </c>
      <c r="S16" vm="221">
        <f ca="1"/>
        <v>80.900000000000006</v>
      </c>
      <c r="T16" vm="222">
        <f ca="1"/>
        <v>6.9726999999999997</v>
      </c>
    </row>
    <row r="17" spans="1:20" x14ac:dyDescent="0.2">
      <c r="B17" t="s">
        <v>3</v>
      </c>
      <c r="C17" vm="223">
        <f ca="1"/>
        <v>28.262499999999999</v>
      </c>
      <c r="D17" vm="224">
        <f ca="1"/>
        <v>158.85</v>
      </c>
      <c r="E17" vm="225">
        <f ca="1"/>
        <v>21.52</v>
      </c>
      <c r="F17" vm="226">
        <f ca="1"/>
        <v>1659.5327</v>
      </c>
      <c r="G17" vm="227">
        <f ca="1"/>
        <v>94.29</v>
      </c>
      <c r="H17" vm="228">
        <f ca="1"/>
        <v>87.28</v>
      </c>
      <c r="I17" vm="229">
        <f ca="1"/>
        <v>30.58</v>
      </c>
      <c r="J17" vm="230">
        <f ca="1"/>
        <v>0.2</v>
      </c>
      <c r="K17" vm="231">
        <f ca="1"/>
        <v>4.2362000000000002</v>
      </c>
      <c r="L17" vm="232">
        <f ca="1"/>
        <v>17.29</v>
      </c>
      <c r="M17" vm="233">
        <f ca="1"/>
        <v>98.55</v>
      </c>
      <c r="N17" vm="82">
        <f ca="1"/>
        <v>0.12230000000000001</v>
      </c>
      <c r="O17" vm="234">
        <f ca="1"/>
        <v>116.06</v>
      </c>
      <c r="P17" vm="235">
        <f ca="1"/>
        <v>48.28</v>
      </c>
      <c r="Q17" vm="236">
        <f ca="1"/>
        <v>27.34</v>
      </c>
      <c r="R17" vm="237">
        <f ca="1"/>
        <v>5.58</v>
      </c>
      <c r="S17" vm="238">
        <f ca="1"/>
        <v>82.7</v>
      </c>
      <c r="T17" vm="239">
        <f ca="1"/>
        <v>6.7908999999999997</v>
      </c>
    </row>
    <row r="18" spans="1:20" x14ac:dyDescent="0.2">
      <c r="B18" t="s">
        <v>4</v>
      </c>
      <c r="C18" vm="240">
        <f ca="1"/>
        <v>28.385000000000002</v>
      </c>
      <c r="D18" vm="241">
        <f ca="1"/>
        <v>153.69</v>
      </c>
      <c r="E18" vm="242">
        <f ca="1"/>
        <v>20.8</v>
      </c>
      <c r="F18" vm="243">
        <f ca="1"/>
        <v>1634.7862</v>
      </c>
      <c r="G18" vm="244">
        <f ca="1"/>
        <v>86.97</v>
      </c>
      <c r="H18" vm="245">
        <f ca="1"/>
        <v>83.32</v>
      </c>
      <c r="I18" vm="246">
        <f ca="1"/>
        <v>32</v>
      </c>
      <c r="J18" vm="96">
        <f ca="1"/>
        <v>0.19</v>
      </c>
      <c r="K18" vm="247">
        <f ca="1"/>
        <v>4.2827999999999999</v>
      </c>
      <c r="L18" vm="248">
        <f ca="1"/>
        <v>13.44</v>
      </c>
      <c r="M18" vm="249">
        <f ca="1"/>
        <v>124.87</v>
      </c>
      <c r="N18" vm="250">
        <f ca="1"/>
        <v>0.1249</v>
      </c>
      <c r="O18" vm="251">
        <f ca="1"/>
        <v>115.66</v>
      </c>
      <c r="P18" vm="252">
        <f ca="1"/>
        <v>46.11</v>
      </c>
      <c r="Q18" vm="253">
        <f ca="1"/>
        <v>26.5</v>
      </c>
      <c r="R18" vm="254">
        <f ca="1"/>
        <v>6.04</v>
      </c>
      <c r="S18" vm="255">
        <f ca="1"/>
        <v>82.51</v>
      </c>
      <c r="T18" vm="256">
        <f ca="1"/>
        <v>7.5364000000000004</v>
      </c>
    </row>
    <row r="19" spans="1:20" x14ac:dyDescent="0.2">
      <c r="B19" t="s">
        <v>5</v>
      </c>
      <c r="C19" vm="257">
        <f ca="1"/>
        <v>27.63</v>
      </c>
      <c r="D19" vm="258">
        <f ca="1"/>
        <v>162.22</v>
      </c>
      <c r="E19" vm="259">
        <f ca="1"/>
        <v>22.15</v>
      </c>
      <c r="F19" vm="260">
        <f ca="1"/>
        <v>1510.5485000000001</v>
      </c>
      <c r="G19" vm="261">
        <f ca="1"/>
        <v>102.29</v>
      </c>
      <c r="H19" vm="262">
        <f ca="1"/>
        <v>87.3</v>
      </c>
      <c r="I19" vm="263">
        <f ca="1"/>
        <v>28.557500000000001</v>
      </c>
      <c r="J19" vm="96">
        <f ca="1"/>
        <v>0.19</v>
      </c>
      <c r="K19" vm="264">
        <f ca="1"/>
        <v>4.6551999999999998</v>
      </c>
      <c r="L19" vm="265">
        <f ca="1"/>
        <v>13.37</v>
      </c>
      <c r="M19" vm="266">
        <f ca="1"/>
        <v>117</v>
      </c>
      <c r="N19" vm="250">
        <f ca="1"/>
        <v>0.1249</v>
      </c>
      <c r="O19" vm="267">
        <f ca="1"/>
        <v>118.53</v>
      </c>
      <c r="P19" vm="268">
        <f ca="1"/>
        <v>50.56</v>
      </c>
      <c r="Q19" vm="269">
        <f ca="1"/>
        <v>30.09</v>
      </c>
      <c r="R19" vm="270">
        <f ca="1"/>
        <v>6.47</v>
      </c>
      <c r="S19" vm="271">
        <f ca="1"/>
        <v>77.319999999999993</v>
      </c>
      <c r="T19" vm="272">
        <f ca="1"/>
        <v>7.1273</v>
      </c>
    </row>
    <row r="20" spans="1:20" x14ac:dyDescent="0.2">
      <c r="A20">
        <v>2017</v>
      </c>
      <c r="B20" t="s">
        <v>6</v>
      </c>
      <c r="C20" vm="273">
        <f ca="1"/>
        <v>28.954999999999998</v>
      </c>
      <c r="D20" vm="274">
        <f ca="1"/>
        <v>165.99</v>
      </c>
      <c r="E20" vm="275">
        <f ca="1"/>
        <v>21.4</v>
      </c>
      <c r="F20" vm="276">
        <f ca="1"/>
        <v>1577.7175999999999</v>
      </c>
      <c r="G20" vm="277">
        <f ca="1"/>
        <v>100.27</v>
      </c>
      <c r="H20" vm="278">
        <f ca="1"/>
        <v>90.26</v>
      </c>
      <c r="I20" vm="279">
        <f ca="1"/>
        <v>29.864999999999998</v>
      </c>
      <c r="J20" vm="230">
        <f ca="1"/>
        <v>0.2</v>
      </c>
      <c r="K20" vm="280">
        <f ca="1"/>
        <v>4.7483000000000004</v>
      </c>
      <c r="L20" vm="281">
        <f ca="1"/>
        <v>14.7</v>
      </c>
      <c r="M20" vm="282">
        <f ca="1"/>
        <v>123.8</v>
      </c>
      <c r="N20" vm="283">
        <f ca="1"/>
        <v>0.2114</v>
      </c>
      <c r="O20" vm="284">
        <f ca="1"/>
        <v>117.2</v>
      </c>
      <c r="P20" vm="285">
        <f ca="1"/>
        <v>49.36</v>
      </c>
      <c r="Q20" vm="286">
        <f ca="1"/>
        <v>29.03</v>
      </c>
      <c r="R20" vm="287">
        <f ca="1"/>
        <v>7.01</v>
      </c>
      <c r="S20" vm="288">
        <f ca="1"/>
        <v>78.02</v>
      </c>
      <c r="T20" vm="289">
        <f ca="1"/>
        <v>6.8090999999999999</v>
      </c>
    </row>
    <row r="21" spans="1:20" x14ac:dyDescent="0.2">
      <c r="B21" t="s">
        <v>7</v>
      </c>
      <c r="C21" vm="290">
        <f ca="1"/>
        <v>30.337499999999999</v>
      </c>
      <c r="D21" vm="291">
        <f ca="1"/>
        <v>174.52</v>
      </c>
      <c r="E21" vm="292">
        <f ca="1"/>
        <v>21.85</v>
      </c>
      <c r="F21" vm="293">
        <f ca="1"/>
        <v>1543.3755000000001</v>
      </c>
      <c r="G21" vm="294">
        <f ca="1"/>
        <v>121.21</v>
      </c>
      <c r="H21" vm="295">
        <f ca="1"/>
        <v>83.89</v>
      </c>
      <c r="I21" vm="296">
        <f ca="1"/>
        <v>30.93</v>
      </c>
      <c r="J21" vm="163">
        <f ca="1"/>
        <v>0.24</v>
      </c>
      <c r="K21" vm="297">
        <f ca="1"/>
        <v>4.9903000000000004</v>
      </c>
      <c r="L21" vm="298">
        <f ca="1"/>
        <v>7.35</v>
      </c>
      <c r="M21" vm="299">
        <f ca="1"/>
        <v>140.71</v>
      </c>
      <c r="N21" vm="300">
        <f ca="1"/>
        <v>0.20180000000000001</v>
      </c>
      <c r="O21" vm="301">
        <f ca="1"/>
        <v>115.75</v>
      </c>
      <c r="P21" vm="302">
        <f ca="1"/>
        <v>51.89</v>
      </c>
      <c r="Q21" vm="303">
        <f ca="1"/>
        <v>29.49</v>
      </c>
      <c r="R21" vm="304">
        <f ca="1"/>
        <v>6.43</v>
      </c>
      <c r="S21" vm="305">
        <f ca="1"/>
        <v>82.71</v>
      </c>
      <c r="T21" vm="306">
        <f ca="1"/>
        <v>7.0454999999999997</v>
      </c>
    </row>
    <row r="22" spans="1:20" x14ac:dyDescent="0.2">
      <c r="B22" t="s">
        <v>8</v>
      </c>
      <c r="C22" vm="307">
        <f ca="1"/>
        <v>34.247500000000002</v>
      </c>
      <c r="D22" vm="308">
        <f ca="1"/>
        <v>179.82</v>
      </c>
      <c r="E22" vm="309">
        <f ca="1"/>
        <v>21.05</v>
      </c>
      <c r="F22" vm="310">
        <f ca="1"/>
        <v>1664.5830000000001</v>
      </c>
      <c r="G22" vm="311">
        <f ca="1"/>
        <v>133.1</v>
      </c>
      <c r="H22" vm="312">
        <f ca="1"/>
        <v>81.319999999999993</v>
      </c>
      <c r="I22" vm="313">
        <f ca="1"/>
        <v>32.75</v>
      </c>
      <c r="J22" vm="314">
        <f ca="1"/>
        <v>0.23</v>
      </c>
      <c r="K22" vm="315">
        <f ca="1"/>
        <v>6.3868999999999998</v>
      </c>
      <c r="L22" vm="316">
        <f ca="1"/>
        <v>9.17</v>
      </c>
      <c r="M22" vm="317">
        <f ca="1"/>
        <v>142.13</v>
      </c>
      <c r="N22" vm="300">
        <f ca="1"/>
        <v>0.20180000000000001</v>
      </c>
      <c r="O22" vm="318">
        <f ca="1"/>
        <v>113.15</v>
      </c>
      <c r="P22" vm="319">
        <f ca="1"/>
        <v>51.25</v>
      </c>
      <c r="Q22" vm="320">
        <f ca="1"/>
        <v>31.42</v>
      </c>
      <c r="R22" vm="321">
        <f ca="1"/>
        <v>6.8449999999999998</v>
      </c>
      <c r="S22" vm="322">
        <f ca="1"/>
        <v>87.94</v>
      </c>
      <c r="T22" vm="323">
        <f ca="1"/>
        <v>7.4545000000000003</v>
      </c>
    </row>
    <row r="23" spans="1:20" x14ac:dyDescent="0.2">
      <c r="B23" t="s">
        <v>9</v>
      </c>
      <c r="C23" vm="324">
        <f ca="1"/>
        <v>35.914999999999999</v>
      </c>
      <c r="D23" vm="325">
        <f ca="1"/>
        <v>174.14</v>
      </c>
      <c r="E23" vm="326">
        <f ca="1"/>
        <v>22.9</v>
      </c>
      <c r="F23" vm="327">
        <f ca="1"/>
        <v>1676.1986999999999</v>
      </c>
      <c r="G23" vm="328">
        <f ca="1"/>
        <v>133.66999999999999</v>
      </c>
      <c r="H23" vm="329">
        <f ca="1"/>
        <v>82.01</v>
      </c>
      <c r="I23" vm="330">
        <f ca="1"/>
        <v>32.092500000000001</v>
      </c>
      <c r="J23" vm="331">
        <f ca="1"/>
        <v>0.43</v>
      </c>
      <c r="K23" vm="332">
        <f ca="1"/>
        <v>6.4055</v>
      </c>
      <c r="L23" vm="333">
        <f ca="1"/>
        <v>7.98</v>
      </c>
      <c r="M23" vm="334">
        <f ca="1"/>
        <v>147.81</v>
      </c>
      <c r="N23" vm="335">
        <f ca="1"/>
        <v>0.19220000000000001</v>
      </c>
      <c r="O23" vm="336">
        <f ca="1"/>
        <v>108.62</v>
      </c>
      <c r="P23" vm="337">
        <f ca="1"/>
        <v>53.03</v>
      </c>
      <c r="Q23" vm="338">
        <f ca="1"/>
        <v>32.46</v>
      </c>
      <c r="R23" vm="339">
        <f ca="1"/>
        <v>7.11</v>
      </c>
      <c r="S23" vm="340">
        <f ca="1"/>
        <v>88.87</v>
      </c>
      <c r="T23" vm="341">
        <f ca="1"/>
        <v>7.8182</v>
      </c>
    </row>
    <row r="24" spans="1:20" x14ac:dyDescent="0.2">
      <c r="B24" t="s">
        <v>10</v>
      </c>
      <c r="C24" vm="342">
        <f ca="1"/>
        <v>35.912500000000001</v>
      </c>
      <c r="D24" vm="343">
        <f ca="1"/>
        <v>160.29</v>
      </c>
      <c r="E24" vm="344">
        <f ca="1"/>
        <v>23.15</v>
      </c>
      <c r="F24" vm="345">
        <f ca="1"/>
        <v>1565.5969</v>
      </c>
      <c r="G24" vm="346">
        <f ca="1"/>
        <v>124.28</v>
      </c>
      <c r="H24" vm="347">
        <f ca="1"/>
        <v>81.650000000000006</v>
      </c>
      <c r="I24" vm="348">
        <f ca="1"/>
        <v>33.39</v>
      </c>
      <c r="J24" vm="349">
        <f ca="1"/>
        <v>0.72</v>
      </c>
      <c r="K24" vm="350">
        <f ca="1"/>
        <v>6.33</v>
      </c>
      <c r="L24" vm="351">
        <f ca="1"/>
        <v>8.0500000000000007</v>
      </c>
      <c r="M24" vm="352">
        <f ca="1"/>
        <v>152.19999999999999</v>
      </c>
      <c r="N24" vm="300">
        <f ca="1"/>
        <v>0.20180000000000001</v>
      </c>
      <c r="O24" vm="353">
        <f ca="1"/>
        <v>108.14</v>
      </c>
      <c r="P24" vm="354">
        <f ca="1"/>
        <v>55.62</v>
      </c>
      <c r="Q24" vm="355">
        <f ca="1"/>
        <v>32.72</v>
      </c>
      <c r="R24" vm="356">
        <f ca="1"/>
        <v>7.8</v>
      </c>
      <c r="S24" vm="357">
        <f ca="1"/>
        <v>91.22</v>
      </c>
      <c r="T24" vm="358">
        <f ca="1"/>
        <v>7.7908999999999997</v>
      </c>
    </row>
    <row r="25" spans="1:20" x14ac:dyDescent="0.2">
      <c r="B25" t="s">
        <v>11</v>
      </c>
      <c r="C25" vm="359">
        <f ca="1"/>
        <v>38.19</v>
      </c>
      <c r="D25" vm="360">
        <f ca="1"/>
        <v>152.63</v>
      </c>
      <c r="E25" vm="361">
        <f ca="1"/>
        <v>25.05</v>
      </c>
      <c r="F25" vm="362">
        <f ca="1"/>
        <v>1720.6415</v>
      </c>
      <c r="G25" vm="363">
        <f ca="1"/>
        <v>129.33000000000001</v>
      </c>
      <c r="H25" vm="364">
        <f ca="1"/>
        <v>80.5</v>
      </c>
      <c r="I25" vm="365">
        <f ca="1"/>
        <v>35.36</v>
      </c>
      <c r="J25" vm="366">
        <f ca="1"/>
        <v>0.71</v>
      </c>
      <c r="K25" vm="367">
        <f ca="1"/>
        <v>6.2</v>
      </c>
      <c r="L25" vm="368">
        <f ca="1"/>
        <v>7.77</v>
      </c>
      <c r="M25" vm="369">
        <f ca="1"/>
        <v>163.07</v>
      </c>
      <c r="N25" vm="300">
        <f ca="1"/>
        <v>0.20180000000000001</v>
      </c>
      <c r="O25" vm="370">
        <f ca="1"/>
        <v>107.54</v>
      </c>
      <c r="P25" vm="371">
        <f ca="1"/>
        <v>55.13</v>
      </c>
      <c r="Q25" vm="372">
        <f ca="1"/>
        <v>34.770000000000003</v>
      </c>
      <c r="R25" vm="373">
        <f ca="1"/>
        <v>8.82</v>
      </c>
      <c r="S25" vm="374">
        <f ca="1"/>
        <v>95.23</v>
      </c>
      <c r="T25" vm="375">
        <f ca="1"/>
        <v>9.0182000000000002</v>
      </c>
    </row>
    <row r="26" spans="1:20" x14ac:dyDescent="0.2">
      <c r="B26" t="s">
        <v>12</v>
      </c>
      <c r="C26" vm="376">
        <f ca="1"/>
        <v>36.005000000000003</v>
      </c>
      <c r="D26" vm="377">
        <f ca="1"/>
        <v>153.83000000000001</v>
      </c>
      <c r="E26" vm="378">
        <f ca="1"/>
        <v>24.35</v>
      </c>
      <c r="F26" vm="379">
        <f ca="1"/>
        <v>1651.9572000000001</v>
      </c>
      <c r="G26" vm="380">
        <f ca="1"/>
        <v>125.91</v>
      </c>
      <c r="H26" vm="381">
        <f ca="1"/>
        <v>80.73</v>
      </c>
      <c r="I26" vm="382">
        <f ca="1"/>
        <v>35.032499999999999</v>
      </c>
      <c r="J26" vm="383">
        <f ca="1"/>
        <v>0.79</v>
      </c>
      <c r="K26" vm="384">
        <f ca="1"/>
        <v>7.24</v>
      </c>
      <c r="L26" vm="385">
        <f ca="1"/>
        <v>7.84</v>
      </c>
      <c r="M26" vm="386">
        <f ca="1"/>
        <v>149.41</v>
      </c>
      <c r="N26" vm="387">
        <f ca="1"/>
        <v>0.3075</v>
      </c>
      <c r="O26" vm="388">
        <f ca="1"/>
        <v>105.02</v>
      </c>
      <c r="P26" vm="389">
        <f ca="1"/>
        <v>58.19</v>
      </c>
      <c r="Q26" vm="390">
        <f ca="1"/>
        <v>33.54</v>
      </c>
      <c r="R26" vm="391">
        <f ca="1"/>
        <v>8.2200000000000006</v>
      </c>
      <c r="S26" vm="392">
        <f ca="1"/>
        <v>93.78</v>
      </c>
      <c r="T26" vm="393">
        <f ca="1"/>
        <v>8.9700000000000006</v>
      </c>
    </row>
    <row r="27" spans="1:20" x14ac:dyDescent="0.2">
      <c r="B27" t="s">
        <v>13</v>
      </c>
      <c r="C27" vm="394">
        <f ca="1"/>
        <v>37.182499999999997</v>
      </c>
      <c r="D27" vm="395">
        <f ca="1"/>
        <v>144.66999999999999</v>
      </c>
      <c r="E27" vm="396">
        <f ca="1"/>
        <v>25.1</v>
      </c>
      <c r="F27" vm="397">
        <f ca="1"/>
        <v>1529.7397000000001</v>
      </c>
      <c r="G27" vm="398">
        <f ca="1"/>
        <v>133.29</v>
      </c>
      <c r="H27" vm="399">
        <f ca="1"/>
        <v>80.040000000000006</v>
      </c>
      <c r="I27" vm="400">
        <f ca="1"/>
        <v>36.522500000000001</v>
      </c>
      <c r="J27" vm="401">
        <f ca="1"/>
        <v>0.7</v>
      </c>
      <c r="K27" vm="402">
        <f ca="1"/>
        <v>9.65</v>
      </c>
      <c r="L27" vm="368">
        <f ca="1"/>
        <v>7.77</v>
      </c>
      <c r="M27" vm="403">
        <f ca="1"/>
        <v>181.66</v>
      </c>
      <c r="N27" vm="404">
        <f ca="1"/>
        <v>0.36509999999999998</v>
      </c>
      <c r="O27" vm="405">
        <f ca="1"/>
        <v>112.84</v>
      </c>
      <c r="P27" vm="406">
        <f ca="1"/>
        <v>54.07</v>
      </c>
      <c r="Q27" vm="407">
        <f ca="1"/>
        <v>32.25</v>
      </c>
      <c r="R27" vm="408">
        <f ca="1"/>
        <v>8.6199999999999992</v>
      </c>
      <c r="S27" vm="409">
        <f ca="1"/>
        <v>99.56</v>
      </c>
      <c r="T27" vm="410">
        <f ca="1"/>
        <v>9.31</v>
      </c>
    </row>
    <row r="28" spans="1:20" x14ac:dyDescent="0.2">
      <c r="B28" t="s">
        <v>14</v>
      </c>
      <c r="C28" vm="411">
        <f ca="1"/>
        <v>41</v>
      </c>
      <c r="D28" vm="412">
        <f ca="1"/>
        <v>143.03</v>
      </c>
      <c r="E28" vm="413">
        <f ca="1"/>
        <v>28.05</v>
      </c>
      <c r="F28" vm="414">
        <f ca="1"/>
        <v>1548.9308000000001</v>
      </c>
      <c r="G28" vm="415">
        <f ca="1"/>
        <v>137.41</v>
      </c>
      <c r="H28" vm="416">
        <f ca="1"/>
        <v>76.33</v>
      </c>
      <c r="I28" vm="417">
        <f ca="1"/>
        <v>37.627499999999998</v>
      </c>
      <c r="J28" vm="418">
        <f ca="1"/>
        <v>0.62</v>
      </c>
      <c r="K28" vm="419">
        <f ca="1"/>
        <v>11.8</v>
      </c>
      <c r="L28" vm="420">
        <f ca="1"/>
        <v>7.21</v>
      </c>
      <c r="M28" vm="421">
        <f ca="1"/>
        <v>174.71</v>
      </c>
      <c r="N28" vm="422">
        <f ca="1"/>
        <v>0.33629999999999999</v>
      </c>
      <c r="O28" vm="423">
        <f ca="1"/>
        <v>112.98</v>
      </c>
      <c r="P28" vm="424">
        <f ca="1"/>
        <v>50.05</v>
      </c>
      <c r="Q28" vm="425">
        <f ca="1"/>
        <v>31.95</v>
      </c>
      <c r="R28" vm="426">
        <f ca="1"/>
        <v>8.3699999999999992</v>
      </c>
      <c r="S28" vm="427">
        <f ca="1"/>
        <v>103.52</v>
      </c>
      <c r="T28" vm="428">
        <f ca="1"/>
        <v>9.3699999999999992</v>
      </c>
    </row>
    <row r="29" spans="1:20" x14ac:dyDescent="0.2">
      <c r="B29" t="s">
        <v>3</v>
      </c>
      <c r="C29" vm="429">
        <f ca="1"/>
        <v>38.53</v>
      </c>
      <c r="D29" vm="430">
        <f ca="1"/>
        <v>145.08000000000001</v>
      </c>
      <c r="E29" vm="431">
        <f ca="1"/>
        <v>27.35</v>
      </c>
      <c r="F29" vm="432">
        <f ca="1"/>
        <v>1503.4780000000001</v>
      </c>
      <c r="G29" vm="433">
        <f ca="1"/>
        <v>116.74</v>
      </c>
      <c r="H29" vm="434">
        <f ca="1"/>
        <v>81.98</v>
      </c>
      <c r="I29" vm="435">
        <f ca="1"/>
        <v>36.637500000000003</v>
      </c>
      <c r="J29" vm="436">
        <f ca="1"/>
        <v>0.48</v>
      </c>
      <c r="K29" vm="437">
        <f ca="1"/>
        <v>13.54</v>
      </c>
      <c r="L29" vm="438">
        <f ca="1"/>
        <v>7.07</v>
      </c>
      <c r="M29" vm="439">
        <f ca="1"/>
        <v>181.35</v>
      </c>
      <c r="N29" vm="440">
        <f ca="1"/>
        <v>0.35549999999999998</v>
      </c>
      <c r="O29" vm="441">
        <f ca="1"/>
        <v>119.17</v>
      </c>
      <c r="P29" vm="442">
        <f ca="1"/>
        <v>47.6</v>
      </c>
      <c r="Q29" vm="443">
        <f ca="1"/>
        <v>34.5</v>
      </c>
      <c r="R29" vm="444">
        <f ca="1"/>
        <v>9.26</v>
      </c>
      <c r="S29" vm="445">
        <f ca="1"/>
        <v>105.24</v>
      </c>
      <c r="T29" vm="446">
        <f ca="1"/>
        <v>8.56</v>
      </c>
    </row>
    <row r="30" spans="1:20" x14ac:dyDescent="0.2">
      <c r="B30" t="s">
        <v>4</v>
      </c>
      <c r="C30" vm="447">
        <f ca="1"/>
        <v>42.26</v>
      </c>
      <c r="D30" vm="448">
        <f ca="1"/>
        <v>154.06</v>
      </c>
      <c r="E30" vm="449">
        <f ca="1"/>
        <v>29.05</v>
      </c>
      <c r="F30" vm="450">
        <f ca="1"/>
        <v>1371.1597999999999</v>
      </c>
      <c r="G30" vm="451">
        <f ca="1"/>
        <v>113.25</v>
      </c>
      <c r="H30" vm="452">
        <f ca="1"/>
        <v>83.35</v>
      </c>
      <c r="I30" vm="453">
        <f ca="1"/>
        <v>38.767499999999998</v>
      </c>
      <c r="J30" vm="454">
        <f ca="1"/>
        <v>0.65</v>
      </c>
      <c r="K30" vm="455">
        <f ca="1"/>
        <v>10.9</v>
      </c>
      <c r="L30" vm="456">
        <f ca="1"/>
        <v>10.99</v>
      </c>
      <c r="M30" vm="457">
        <f ca="1"/>
        <v>196.43</v>
      </c>
      <c r="N30" vm="458">
        <f ca="1"/>
        <v>0.36</v>
      </c>
      <c r="O30" vm="459">
        <f ca="1"/>
        <v>124</v>
      </c>
      <c r="P30" vm="460">
        <f ca="1"/>
        <v>48.11</v>
      </c>
      <c r="Q30" vm="461">
        <f ca="1"/>
        <v>32.1</v>
      </c>
      <c r="R30" vm="462">
        <f ca="1"/>
        <v>8.52</v>
      </c>
      <c r="S30" vm="463">
        <f ca="1"/>
        <v>109.98</v>
      </c>
      <c r="T30" vm="464">
        <f ca="1"/>
        <v>9.15</v>
      </c>
    </row>
    <row r="31" spans="1:20" x14ac:dyDescent="0.2">
      <c r="B31" t="s">
        <v>5</v>
      </c>
      <c r="C31" vm="465">
        <f ca="1"/>
        <v>42.962499999999999</v>
      </c>
      <c r="D31" vm="466">
        <f ca="1"/>
        <v>153.97</v>
      </c>
      <c r="E31" vm="467">
        <f ca="1"/>
        <v>27.75</v>
      </c>
      <c r="F31" vm="468">
        <f ca="1"/>
        <v>1292.375</v>
      </c>
      <c r="G31" vm="469">
        <f ca="1"/>
        <v>98.99</v>
      </c>
      <c r="H31" vm="470">
        <f ca="1"/>
        <v>83.29</v>
      </c>
      <c r="I31" vm="471">
        <f ca="1"/>
        <v>39.51</v>
      </c>
      <c r="J31" vm="472">
        <f ca="1"/>
        <v>0.67</v>
      </c>
      <c r="K31" vm="473">
        <f ca="1"/>
        <v>8.5</v>
      </c>
      <c r="L31" vm="373">
        <f ca="1"/>
        <v>8.82</v>
      </c>
      <c r="M31" vm="474">
        <f ca="1"/>
        <v>187.58</v>
      </c>
      <c r="N31" vm="475">
        <f ca="1"/>
        <v>0.35</v>
      </c>
      <c r="O31" vm="476">
        <f ca="1"/>
        <v>126.34</v>
      </c>
      <c r="P31" vm="477">
        <f ca="1"/>
        <v>41.03</v>
      </c>
      <c r="Q31" vm="478">
        <f ca="1"/>
        <v>30.24</v>
      </c>
      <c r="R31" vm="479">
        <f ca="1"/>
        <v>5.89</v>
      </c>
      <c r="S31" vm="480">
        <f ca="1"/>
        <v>112.59</v>
      </c>
      <c r="T31" vm="481">
        <f ca="1"/>
        <v>9.5399999999999991</v>
      </c>
    </row>
    <row r="32" spans="1:20" x14ac:dyDescent="0.2">
      <c r="A32">
        <v>2018</v>
      </c>
      <c r="B32" t="s">
        <v>6</v>
      </c>
      <c r="C32" vm="482">
        <f ca="1"/>
        <v>42.307499999999997</v>
      </c>
      <c r="D32" vm="483">
        <f ca="1"/>
        <v>153.41999999999999</v>
      </c>
      <c r="E32" vm="484">
        <f ca="1"/>
        <v>28.4</v>
      </c>
      <c r="F32" vm="485">
        <f ca="1"/>
        <v>1335.8077000000001</v>
      </c>
      <c r="G32" vm="486">
        <f ca="1"/>
        <v>94.71</v>
      </c>
      <c r="H32" vm="487">
        <f ca="1"/>
        <v>83.64</v>
      </c>
      <c r="I32" vm="488">
        <f ca="1"/>
        <v>39.047499999999999</v>
      </c>
      <c r="J32" vm="489">
        <f ca="1"/>
        <v>0.63</v>
      </c>
      <c r="K32" vm="490">
        <f ca="1"/>
        <v>8.68</v>
      </c>
      <c r="L32" vm="491">
        <f ca="1"/>
        <v>7.95</v>
      </c>
      <c r="M32" vm="492">
        <f ca="1"/>
        <v>191.96</v>
      </c>
      <c r="N32" vm="475">
        <f ca="1"/>
        <v>0.35</v>
      </c>
      <c r="O32" vm="493">
        <f ca="1"/>
        <v>127.17</v>
      </c>
      <c r="P32" vm="494">
        <f ca="1"/>
        <v>39.67</v>
      </c>
      <c r="Q32" vm="495">
        <f ca="1"/>
        <v>31.18</v>
      </c>
      <c r="R32" vm="496">
        <f ca="1"/>
        <v>5.97</v>
      </c>
      <c r="S32" vm="497">
        <f ca="1"/>
        <v>114.02</v>
      </c>
      <c r="T32" vm="498">
        <f ca="1"/>
        <v>9.73</v>
      </c>
    </row>
    <row r="33" spans="1:20" x14ac:dyDescent="0.2">
      <c r="B33" t="s">
        <v>7</v>
      </c>
      <c r="C33" vm="499">
        <f ca="1"/>
        <v>41.857500000000002</v>
      </c>
      <c r="D33" vm="500">
        <f ca="1"/>
        <v>163.69999999999999</v>
      </c>
      <c r="E33" vm="501">
        <f ca="1"/>
        <v>28.35</v>
      </c>
      <c r="F33" vm="502">
        <f ca="1"/>
        <v>1333.6865</v>
      </c>
      <c r="G33" vm="503">
        <f ca="1"/>
        <v>90.29</v>
      </c>
      <c r="H33" vm="262">
        <f ca="1"/>
        <v>87.3</v>
      </c>
      <c r="I33" vm="504">
        <f ca="1"/>
        <v>39.604999999999997</v>
      </c>
      <c r="J33" vm="505">
        <f ca="1"/>
        <v>0.73</v>
      </c>
      <c r="K33" vm="506">
        <f ca="1"/>
        <v>8.77</v>
      </c>
      <c r="L33" vm="507">
        <f ca="1"/>
        <v>7.76</v>
      </c>
      <c r="M33" vm="508">
        <f ca="1"/>
        <v>270.3</v>
      </c>
      <c r="N33" vm="509">
        <f ca="1"/>
        <v>0.55000000000000004</v>
      </c>
      <c r="O33" vm="510">
        <f ca="1"/>
        <v>137.91999999999999</v>
      </c>
      <c r="P33" vm="511">
        <f ca="1"/>
        <v>43</v>
      </c>
      <c r="Q33" vm="512">
        <f ca="1"/>
        <v>34.21</v>
      </c>
      <c r="R33" vm="513">
        <f ca="1"/>
        <v>6.01</v>
      </c>
      <c r="S33" vm="514">
        <f ca="1"/>
        <v>124.23</v>
      </c>
      <c r="T33" vm="515">
        <f ca="1"/>
        <v>10.98</v>
      </c>
    </row>
    <row r="34" spans="1:20" x14ac:dyDescent="0.2">
      <c r="B34" t="s">
        <v>8</v>
      </c>
      <c r="C34" vm="516">
        <f ca="1"/>
        <v>44.53</v>
      </c>
      <c r="D34" vm="517">
        <f ca="1"/>
        <v>155.83000000000001</v>
      </c>
      <c r="E34" vm="518">
        <f ca="1"/>
        <v>26.45</v>
      </c>
      <c r="F34" vm="519">
        <f ca="1"/>
        <v>1320.3536999999999</v>
      </c>
      <c r="G34" vm="520">
        <f ca="1"/>
        <v>85.16</v>
      </c>
      <c r="H34" vm="521">
        <f ca="1"/>
        <v>75.739999999999995</v>
      </c>
      <c r="I34" vm="522">
        <f ca="1"/>
        <v>38.037500000000001</v>
      </c>
      <c r="J34" vm="489">
        <f ca="1"/>
        <v>0.63</v>
      </c>
      <c r="K34" vm="523">
        <f ca="1"/>
        <v>8</v>
      </c>
      <c r="L34" vm="524">
        <f ca="1"/>
        <v>5.6</v>
      </c>
      <c r="M34" vm="525">
        <f ca="1"/>
        <v>291.38</v>
      </c>
      <c r="N34" vm="526">
        <f ca="1"/>
        <v>0.66800000000000004</v>
      </c>
      <c r="O34" vm="527">
        <f ca="1"/>
        <v>134.6</v>
      </c>
      <c r="P34" vm="528">
        <f ca="1"/>
        <v>39.15</v>
      </c>
      <c r="Q34" vm="529">
        <f ca="1"/>
        <v>32.200000000000003</v>
      </c>
      <c r="R34" vm="530">
        <f ca="1"/>
        <v>5.28</v>
      </c>
      <c r="S34" vm="531">
        <f ca="1"/>
        <v>122.94</v>
      </c>
      <c r="T34" vm="532">
        <f ca="1"/>
        <v>9.5</v>
      </c>
    </row>
    <row r="35" spans="1:20" x14ac:dyDescent="0.2">
      <c r="B35" t="s">
        <v>9</v>
      </c>
      <c r="C35" vm="533">
        <f ca="1"/>
        <v>41.945</v>
      </c>
      <c r="D35" vm="534">
        <f ca="1"/>
        <v>153.43</v>
      </c>
      <c r="E35" vm="535">
        <f ca="1"/>
        <v>28.55</v>
      </c>
      <c r="F35" vm="536">
        <f ca="1"/>
        <v>1408.0271</v>
      </c>
      <c r="G35" vm="537">
        <f ca="1"/>
        <v>83.33</v>
      </c>
      <c r="H35" vm="538">
        <f ca="1"/>
        <v>74.61</v>
      </c>
      <c r="I35" vm="539">
        <f ca="1"/>
        <v>40.832500000000003</v>
      </c>
      <c r="J35" vm="454">
        <f ca="1"/>
        <v>0.65</v>
      </c>
      <c r="K35" vm="540">
        <f ca="1"/>
        <v>7.96</v>
      </c>
      <c r="L35" vm="541">
        <f ca="1"/>
        <v>5.5</v>
      </c>
      <c r="M35" vm="542">
        <f ca="1"/>
        <v>295.35000000000002</v>
      </c>
      <c r="N35" vm="543">
        <f ca="1"/>
        <v>0.70499999999999996</v>
      </c>
      <c r="O35" vm="544">
        <f ca="1"/>
        <v>130.37</v>
      </c>
      <c r="P35" vm="545">
        <f ca="1"/>
        <v>37</v>
      </c>
      <c r="Q35" vm="546">
        <f ca="1"/>
        <v>33.26</v>
      </c>
      <c r="R35" vm="547">
        <f ca="1"/>
        <v>5.77</v>
      </c>
      <c r="S35" vm="548">
        <f ca="1"/>
        <v>119.62</v>
      </c>
      <c r="T35" vm="549">
        <f ca="1"/>
        <v>8.85</v>
      </c>
    </row>
    <row r="36" spans="1:20" x14ac:dyDescent="0.2">
      <c r="B36" t="s">
        <v>10</v>
      </c>
      <c r="C36" vm="550">
        <f ca="1"/>
        <v>41.314999999999998</v>
      </c>
      <c r="D36" vm="551">
        <f ca="1"/>
        <v>144.96</v>
      </c>
      <c r="E36" vm="552">
        <f ca="1"/>
        <v>29.55</v>
      </c>
      <c r="F36" vm="553">
        <f ca="1"/>
        <v>1476.1052999999999</v>
      </c>
      <c r="G36" vm="554">
        <f ca="1"/>
        <v>61.94</v>
      </c>
      <c r="H36" vm="555">
        <f ca="1"/>
        <v>77.75</v>
      </c>
      <c r="I36" vm="556">
        <f ca="1"/>
        <v>40.977499999999999</v>
      </c>
      <c r="J36" vm="557">
        <f ca="1"/>
        <v>0.53</v>
      </c>
      <c r="K36" vm="558">
        <f ca="1"/>
        <v>6.63</v>
      </c>
      <c r="L36" vm="559">
        <f ca="1"/>
        <v>5.13</v>
      </c>
      <c r="M36" vm="560">
        <f ca="1"/>
        <v>312.45999999999998</v>
      </c>
      <c r="N36" vm="561">
        <f ca="1"/>
        <v>0.63800000000000001</v>
      </c>
      <c r="O36" vm="562">
        <f ca="1"/>
        <v>130.97999999999999</v>
      </c>
      <c r="P36" vm="563">
        <f ca="1"/>
        <v>44.5</v>
      </c>
      <c r="Q36" vm="564">
        <f ca="1"/>
        <v>34.200000000000003</v>
      </c>
      <c r="R36" vm="565">
        <f ca="1"/>
        <v>5.82</v>
      </c>
      <c r="S36" vm="566">
        <f ca="1"/>
        <v>126.88</v>
      </c>
      <c r="T36" vm="567">
        <f ca="1"/>
        <v>8.51</v>
      </c>
    </row>
    <row r="37" spans="1:20" x14ac:dyDescent="0.2">
      <c r="B37" t="s">
        <v>11</v>
      </c>
      <c r="C37" vm="568">
        <f ca="1"/>
        <v>46.717500000000001</v>
      </c>
      <c r="D37" vm="569">
        <f ca="1"/>
        <v>141.31</v>
      </c>
      <c r="E37" vm="570">
        <f ca="1"/>
        <v>29.8</v>
      </c>
      <c r="F37" vm="571">
        <f ca="1"/>
        <v>1539.3353</v>
      </c>
      <c r="G37" vm="572">
        <f ca="1"/>
        <v>68.27</v>
      </c>
      <c r="H37" vm="573">
        <f ca="1"/>
        <v>81.239999999999995</v>
      </c>
      <c r="I37" vm="574">
        <f ca="1"/>
        <v>41.452500000000001</v>
      </c>
      <c r="J37" vm="575">
        <f ca="1"/>
        <v>0.59</v>
      </c>
      <c r="K37" vm="576">
        <f ca="1"/>
        <v>6.58</v>
      </c>
      <c r="L37" vm="577">
        <f ca="1"/>
        <v>5.92</v>
      </c>
      <c r="M37" vm="578">
        <f ca="1"/>
        <v>351.6</v>
      </c>
      <c r="N37" vm="579">
        <f ca="1"/>
        <v>0.66400000000000003</v>
      </c>
      <c r="O37" vm="580">
        <f ca="1"/>
        <v>127.97</v>
      </c>
      <c r="P37" vm="581">
        <f ca="1"/>
        <v>39.9</v>
      </c>
      <c r="Q37" vm="582">
        <f ca="1"/>
        <v>34.520000000000003</v>
      </c>
      <c r="R37" vm="583">
        <f ca="1"/>
        <v>5.1050000000000004</v>
      </c>
      <c r="S37" vm="584">
        <f ca="1"/>
        <v>130.72</v>
      </c>
      <c r="T37" vm="585">
        <f ca="1"/>
        <v>8.39</v>
      </c>
    </row>
    <row r="38" spans="1:20" x14ac:dyDescent="0.2">
      <c r="B38" t="s">
        <v>12</v>
      </c>
      <c r="C38" vm="586">
        <f ca="1"/>
        <v>46.277500000000003</v>
      </c>
      <c r="D38" vm="587">
        <f ca="1"/>
        <v>139.69999999999999</v>
      </c>
      <c r="E38" vm="588">
        <f ca="1"/>
        <v>32.5</v>
      </c>
      <c r="F38" vm="589">
        <f ca="1"/>
        <v>1545.1936000000001</v>
      </c>
      <c r="G38" vm="590">
        <f ca="1"/>
        <v>67</v>
      </c>
      <c r="H38" vm="591">
        <f ca="1"/>
        <v>82.73</v>
      </c>
      <c r="I38" vm="592">
        <f ca="1"/>
        <v>41.7575</v>
      </c>
      <c r="J38" vm="593">
        <f ca="1"/>
        <v>0.5</v>
      </c>
      <c r="K38" vm="594">
        <f ca="1"/>
        <v>7.19</v>
      </c>
      <c r="L38" vm="595">
        <f ca="1"/>
        <v>8.48</v>
      </c>
      <c r="M38" vm="596">
        <f ca="1"/>
        <v>391.43</v>
      </c>
      <c r="N38" vm="597">
        <f ca="1"/>
        <v>0.53600000000000003</v>
      </c>
      <c r="O38" vm="598">
        <f ca="1"/>
        <v>128.81</v>
      </c>
      <c r="P38" vm="599">
        <f ca="1"/>
        <v>32.700000000000003</v>
      </c>
      <c r="Q38" vm="600">
        <f ca="1"/>
        <v>34.619999999999997</v>
      </c>
      <c r="R38" vm="601">
        <f ca="1"/>
        <v>4.8899999999999997</v>
      </c>
      <c r="S38" vm="602">
        <f ca="1"/>
        <v>132.44999999999999</v>
      </c>
      <c r="T38" vm="603">
        <f ca="1"/>
        <v>8.0299999999999994</v>
      </c>
    </row>
    <row r="39" spans="1:20" x14ac:dyDescent="0.2">
      <c r="B39" t="s">
        <v>13</v>
      </c>
      <c r="C39" vm="604">
        <f ca="1"/>
        <v>47.572499999999998</v>
      </c>
      <c r="D39" vm="605">
        <f ca="1"/>
        <v>144.93</v>
      </c>
      <c r="E39" vm="606">
        <f ca="1"/>
        <v>31.9</v>
      </c>
      <c r="F39" vm="607">
        <f ca="1"/>
        <v>1597.5148999999999</v>
      </c>
      <c r="G39" vm="608">
        <f ca="1"/>
        <v>66.540000000000006</v>
      </c>
      <c r="H39" vm="609">
        <f ca="1"/>
        <v>81.510000000000005</v>
      </c>
      <c r="I39" vm="610">
        <f ca="1"/>
        <v>41.884999999999998</v>
      </c>
      <c r="J39" vm="611">
        <f ca="1"/>
        <v>0.54</v>
      </c>
      <c r="K39" vm="612">
        <f ca="1"/>
        <v>7</v>
      </c>
      <c r="L39" vm="333">
        <f ca="1"/>
        <v>7.98</v>
      </c>
      <c r="M39" vm="613">
        <f ca="1"/>
        <v>337.45</v>
      </c>
      <c r="N39" vm="614">
        <f ca="1"/>
        <v>0.46150000000000002</v>
      </c>
      <c r="O39" vm="615">
        <f ca="1"/>
        <v>131.84</v>
      </c>
      <c r="P39" vm="616">
        <f ca="1"/>
        <v>32</v>
      </c>
      <c r="Q39" vm="372">
        <f ca="1"/>
        <v>34.770000000000003</v>
      </c>
      <c r="R39" vm="617">
        <f ca="1"/>
        <v>5.9074999999999998</v>
      </c>
      <c r="S39" vm="618">
        <f ca="1"/>
        <v>136.74</v>
      </c>
      <c r="T39" vm="619">
        <f ca="1"/>
        <v>8.83</v>
      </c>
    </row>
    <row r="40" spans="1:20" x14ac:dyDescent="0.2">
      <c r="B40" t="s">
        <v>14</v>
      </c>
      <c r="C40" vm="620">
        <f ca="1"/>
        <v>56.907499999999999</v>
      </c>
      <c r="D40" vm="621">
        <f ca="1"/>
        <v>146.47999999999999</v>
      </c>
      <c r="E40" vm="622">
        <f ca="1"/>
        <v>35</v>
      </c>
      <c r="F40" vm="623">
        <f ca="1"/>
        <v>1576.1015</v>
      </c>
      <c r="G40" vm="624">
        <f ca="1"/>
        <v>73.91</v>
      </c>
      <c r="H40" vm="625">
        <f ca="1"/>
        <v>80.17</v>
      </c>
      <c r="I40" vm="626">
        <f ca="1"/>
        <v>42.524999999999999</v>
      </c>
      <c r="J40" vm="627">
        <f ca="1"/>
        <v>0.435</v>
      </c>
      <c r="K40" vm="628">
        <f ca="1"/>
        <v>6.85</v>
      </c>
      <c r="L40" vm="629">
        <f ca="1"/>
        <v>8.1</v>
      </c>
      <c r="M40" vm="630">
        <f ca="1"/>
        <v>367.68</v>
      </c>
      <c r="N40" vm="631">
        <f ca="1"/>
        <v>0.438</v>
      </c>
      <c r="O40" vm="632">
        <f ca="1"/>
        <v>124.08</v>
      </c>
      <c r="P40" vm="633">
        <f ca="1"/>
        <v>33</v>
      </c>
      <c r="Q40" vm="634">
        <f ca="1"/>
        <v>31.885000000000002</v>
      </c>
      <c r="R40" vm="635">
        <f ca="1"/>
        <v>5.65</v>
      </c>
      <c r="S40" vm="636">
        <f ca="1"/>
        <v>146.88999999999999</v>
      </c>
      <c r="T40" vm="637">
        <f ca="1"/>
        <v>9.6300000000000008</v>
      </c>
    </row>
    <row r="41" spans="1:20" x14ac:dyDescent="0.2">
      <c r="B41" t="s">
        <v>3</v>
      </c>
      <c r="C41" vm="638">
        <f ca="1"/>
        <v>56.435000000000002</v>
      </c>
      <c r="D41" vm="639">
        <f ca="1"/>
        <v>151.21</v>
      </c>
      <c r="E41" vm="640">
        <f ca="1"/>
        <v>33.9</v>
      </c>
      <c r="F41" vm="641">
        <f ca="1"/>
        <v>1552.2641000000001</v>
      </c>
      <c r="G41" vm="642">
        <f ca="1"/>
        <v>69.08</v>
      </c>
      <c r="H41" vm="643">
        <f ca="1"/>
        <v>85.02</v>
      </c>
      <c r="I41" vm="644">
        <f ca="1"/>
        <v>41.9</v>
      </c>
      <c r="J41" vm="645">
        <f ca="1"/>
        <v>0.44500000000000001</v>
      </c>
      <c r="K41" vm="646">
        <f ca="1"/>
        <v>6.39</v>
      </c>
      <c r="L41" vm="647">
        <f ca="1"/>
        <v>8.84</v>
      </c>
      <c r="M41" vm="648">
        <f ca="1"/>
        <v>374.13</v>
      </c>
      <c r="N41" vm="649">
        <f ca="1"/>
        <v>0.40600000000000003</v>
      </c>
      <c r="O41" vm="650">
        <f ca="1"/>
        <v>124.35</v>
      </c>
      <c r="P41" vm="651">
        <f ca="1"/>
        <v>23.95</v>
      </c>
      <c r="Q41" vm="652">
        <f ca="1"/>
        <v>32.909999999999997</v>
      </c>
      <c r="R41" vm="653">
        <f ca="1"/>
        <v>5.9550000000000001</v>
      </c>
      <c r="S41" vm="654">
        <f ca="1"/>
        <v>150.09</v>
      </c>
      <c r="T41" vm="655">
        <f ca="1"/>
        <v>8.49</v>
      </c>
    </row>
    <row r="42" spans="1:20" x14ac:dyDescent="0.2">
      <c r="B42" t="s">
        <v>4</v>
      </c>
      <c r="C42" vm="656">
        <f ca="1"/>
        <v>54.715000000000003</v>
      </c>
      <c r="D42" vm="657">
        <f ca="1"/>
        <v>115.43</v>
      </c>
      <c r="E42" vm="658">
        <f ca="1"/>
        <v>30.59</v>
      </c>
      <c r="F42" vm="659">
        <f ca="1"/>
        <v>1526.4065000000001</v>
      </c>
      <c r="G42" vm="660">
        <f ca="1"/>
        <v>64.819999999999993</v>
      </c>
      <c r="H42" vm="661">
        <f ca="1"/>
        <v>79.680000000000007</v>
      </c>
      <c r="I42" vm="662">
        <f ca="1"/>
        <v>43.125</v>
      </c>
      <c r="J42" vm="611">
        <f ca="1"/>
        <v>0.54</v>
      </c>
      <c r="K42" vm="663">
        <f ca="1"/>
        <v>6.15</v>
      </c>
      <c r="L42" vm="664">
        <f ca="1"/>
        <v>5.41</v>
      </c>
      <c r="M42" vm="665">
        <f ca="1"/>
        <v>301.77999999999997</v>
      </c>
      <c r="N42" vm="666">
        <f ca="1"/>
        <v>0.38700000000000001</v>
      </c>
      <c r="O42" vm="667">
        <f ca="1"/>
        <v>117.05</v>
      </c>
      <c r="P42" vm="668">
        <f ca="1"/>
        <v>25.7</v>
      </c>
      <c r="Q42" vm="669">
        <f ca="1"/>
        <v>26.95</v>
      </c>
      <c r="R42" vm="670">
        <f ca="1"/>
        <v>5.33</v>
      </c>
      <c r="S42" vm="671">
        <f ca="1"/>
        <v>137.85</v>
      </c>
      <c r="T42" vm="672">
        <f ca="1"/>
        <v>9.49</v>
      </c>
    </row>
    <row r="43" spans="1:20" x14ac:dyDescent="0.2">
      <c r="B43" t="s">
        <v>5</v>
      </c>
      <c r="C43" vm="673">
        <f ca="1"/>
        <v>44.645000000000003</v>
      </c>
      <c r="D43" vm="674">
        <f ca="1"/>
        <v>124.27</v>
      </c>
      <c r="E43" vm="675">
        <f ca="1"/>
        <v>29.42</v>
      </c>
      <c r="F43" vm="676">
        <f ca="1"/>
        <v>1637.9174</v>
      </c>
      <c r="G43" vm="677">
        <f ca="1"/>
        <v>64.25</v>
      </c>
      <c r="H43" vm="678">
        <f ca="1"/>
        <v>79.5</v>
      </c>
      <c r="I43" vm="679">
        <f ca="1"/>
        <v>45.427500000000002</v>
      </c>
      <c r="J43" vm="472">
        <f ca="1"/>
        <v>0.67</v>
      </c>
      <c r="K43" vm="680">
        <f ca="1"/>
        <v>6</v>
      </c>
      <c r="L43" vm="681">
        <f ca="1"/>
        <v>6.25</v>
      </c>
      <c r="M43" vm="682">
        <f ca="1"/>
        <v>286.13</v>
      </c>
      <c r="N43" vm="683">
        <f ca="1"/>
        <v>0.35149999999999998</v>
      </c>
      <c r="O43" vm="684">
        <f ca="1"/>
        <v>121.48</v>
      </c>
      <c r="P43" vm="685">
        <f ca="1"/>
        <v>26.8</v>
      </c>
      <c r="Q43" vm="686">
        <f ca="1"/>
        <v>25.12</v>
      </c>
      <c r="R43" vm="687">
        <f ca="1"/>
        <v>4.8324999999999996</v>
      </c>
      <c r="S43" vm="688">
        <f ca="1"/>
        <v>141.71</v>
      </c>
      <c r="T43" vm="689">
        <f ca="1"/>
        <v>10.17</v>
      </c>
    </row>
    <row r="44" spans="1:20" x14ac:dyDescent="0.2">
      <c r="A44">
        <v>2019</v>
      </c>
      <c r="B44" t="s">
        <v>6</v>
      </c>
      <c r="C44" vm="690">
        <f ca="1"/>
        <v>39.435000000000002</v>
      </c>
      <c r="D44" vm="691">
        <f ca="1"/>
        <v>113.67</v>
      </c>
      <c r="E44" vm="692">
        <f ca="1"/>
        <v>26.46</v>
      </c>
      <c r="F44" vm="693">
        <f ca="1"/>
        <v>1506.2052000000001</v>
      </c>
      <c r="G44" vm="694">
        <f ca="1"/>
        <v>63.59</v>
      </c>
      <c r="H44" vm="695">
        <f ca="1"/>
        <v>68.19</v>
      </c>
      <c r="I44" vm="696">
        <f ca="1"/>
        <v>43.454999999999998</v>
      </c>
      <c r="J44" vm="697">
        <f ca="1"/>
        <v>0.52</v>
      </c>
      <c r="K44" vm="698">
        <f ca="1"/>
        <v>5.85</v>
      </c>
      <c r="L44" vm="699">
        <f ca="1"/>
        <v>4.53</v>
      </c>
      <c r="M44" vm="700">
        <f ca="1"/>
        <v>267.66000000000003</v>
      </c>
      <c r="N44" vm="701">
        <f ca="1"/>
        <v>0.34050000000000002</v>
      </c>
      <c r="O44" vm="702">
        <f ca="1"/>
        <v>116.08</v>
      </c>
      <c r="P44" vm="703">
        <f ca="1"/>
        <v>25.35</v>
      </c>
      <c r="Q44" vm="704">
        <f ca="1"/>
        <v>23.42</v>
      </c>
      <c r="R44" vm="705">
        <f ca="1"/>
        <v>4.33</v>
      </c>
      <c r="S44" vm="706">
        <f ca="1"/>
        <v>131.94</v>
      </c>
      <c r="T44" vm="707">
        <f ca="1"/>
        <v>10.29</v>
      </c>
    </row>
    <row r="45" spans="1:20" x14ac:dyDescent="0.2">
      <c r="B45" t="s">
        <v>7</v>
      </c>
      <c r="C45" vm="708">
        <f ca="1"/>
        <v>41.61</v>
      </c>
      <c r="D45" vm="709">
        <f ca="1"/>
        <v>134.41999999999999</v>
      </c>
      <c r="E45" vm="710">
        <f ca="1"/>
        <v>31.06</v>
      </c>
      <c r="F45" vm="711">
        <f ca="1"/>
        <v>1492.0643</v>
      </c>
      <c r="G45" vm="712">
        <f ca="1"/>
        <v>80.59</v>
      </c>
      <c r="H45" vm="713">
        <f ca="1"/>
        <v>73.28</v>
      </c>
      <c r="I45" vm="714">
        <f ca="1"/>
        <v>44.744999999999997</v>
      </c>
      <c r="J45" vm="472">
        <f ca="1"/>
        <v>0.67</v>
      </c>
      <c r="K45" vm="715">
        <f ca="1"/>
        <v>6.6</v>
      </c>
      <c r="L45" vm="186">
        <f ca="1"/>
        <v>5</v>
      </c>
      <c r="M45" vm="716">
        <f ca="1"/>
        <v>339.5</v>
      </c>
      <c r="N45" vm="717">
        <f ca="1"/>
        <v>0.33250000000000002</v>
      </c>
      <c r="O45" vm="718">
        <f ca="1"/>
        <v>123.17</v>
      </c>
      <c r="P45" vm="719">
        <f ca="1"/>
        <v>27.85</v>
      </c>
      <c r="Q45" vm="720">
        <f ca="1"/>
        <v>27.38</v>
      </c>
      <c r="R45" vm="721">
        <f ca="1"/>
        <v>4.75</v>
      </c>
      <c r="S45" vm="722">
        <f ca="1"/>
        <v>135.01</v>
      </c>
      <c r="T45" vm="723">
        <f ca="1"/>
        <v>10.210000000000001</v>
      </c>
    </row>
    <row r="46" spans="1:20" x14ac:dyDescent="0.2">
      <c r="B46" t="s">
        <v>8</v>
      </c>
      <c r="C46" vm="724">
        <f ca="1"/>
        <v>43.287500000000001</v>
      </c>
      <c r="D46" vm="725">
        <f ca="1"/>
        <v>138.13</v>
      </c>
      <c r="E46" vm="726">
        <f ca="1"/>
        <v>34.54</v>
      </c>
      <c r="F46" vm="727">
        <f ca="1"/>
        <v>1512.4675999999999</v>
      </c>
      <c r="G46" vm="728">
        <f ca="1"/>
        <v>86.23</v>
      </c>
      <c r="H46" vm="729">
        <f ca="1"/>
        <v>79.03</v>
      </c>
      <c r="I46" vm="730">
        <f ca="1"/>
        <v>46.93</v>
      </c>
      <c r="J46" vm="454">
        <f ca="1"/>
        <v>0.65</v>
      </c>
      <c r="K46" vm="731">
        <f ca="1"/>
        <v>5.92</v>
      </c>
      <c r="L46" vm="732">
        <f ca="1"/>
        <v>5.04</v>
      </c>
      <c r="M46" vm="733">
        <f ca="1"/>
        <v>358.1</v>
      </c>
      <c r="N46" vm="475">
        <f ca="1"/>
        <v>0.35</v>
      </c>
      <c r="O46" vm="734">
        <f ca="1"/>
        <v>121.04</v>
      </c>
      <c r="P46" vm="735">
        <f ca="1"/>
        <v>26.35</v>
      </c>
      <c r="Q46" vm="60">
        <f ca="1"/>
        <v>24.965</v>
      </c>
      <c r="R46" vm="736">
        <f ca="1"/>
        <v>4.9675000000000002</v>
      </c>
      <c r="S46" vm="737">
        <f ca="1"/>
        <v>148.12</v>
      </c>
      <c r="T46" vm="738">
        <f ca="1"/>
        <v>9.86</v>
      </c>
    </row>
    <row r="47" spans="1:20" x14ac:dyDescent="0.2">
      <c r="B47" t="s">
        <v>9</v>
      </c>
      <c r="C47" vm="739">
        <f ca="1"/>
        <v>47.487499999999997</v>
      </c>
      <c r="D47" vm="740">
        <f ca="1"/>
        <v>141.1</v>
      </c>
      <c r="E47" vm="741">
        <f ca="1"/>
        <v>36.380000000000003</v>
      </c>
      <c r="F47" vm="742">
        <f ca="1"/>
        <v>1612.8678</v>
      </c>
      <c r="G47" vm="743">
        <f ca="1"/>
        <v>86.01</v>
      </c>
      <c r="H47" vm="744">
        <f ca="1"/>
        <v>80.8</v>
      </c>
      <c r="I47" vm="745">
        <f ca="1"/>
        <v>48.33</v>
      </c>
      <c r="J47" vm="418">
        <f ca="1"/>
        <v>0.62</v>
      </c>
      <c r="K47" vm="746">
        <f ca="1"/>
        <v>5.97</v>
      </c>
      <c r="L47" vm="747">
        <f ca="1"/>
        <v>6.83</v>
      </c>
      <c r="M47" vm="748">
        <f ca="1"/>
        <v>356.56</v>
      </c>
      <c r="N47" vm="749">
        <f ca="1"/>
        <v>0.315</v>
      </c>
      <c r="O47" vm="750">
        <f ca="1"/>
        <v>118.02</v>
      </c>
      <c r="P47" vm="751">
        <f ca="1"/>
        <v>27.55</v>
      </c>
      <c r="Q47" vm="752">
        <f ca="1"/>
        <v>25.555</v>
      </c>
      <c r="R47" vm="753">
        <f ca="1"/>
        <v>5.8</v>
      </c>
      <c r="S47" vm="754">
        <f ca="1"/>
        <v>156.19</v>
      </c>
      <c r="T47" vm="755">
        <f ca="1"/>
        <v>11.46</v>
      </c>
    </row>
    <row r="48" spans="1:20" x14ac:dyDescent="0.2">
      <c r="B48" t="s">
        <v>10</v>
      </c>
      <c r="C48" vm="756">
        <f ca="1"/>
        <v>50.167499999999997</v>
      </c>
      <c r="D48" vm="757">
        <f ca="1"/>
        <v>140.27000000000001</v>
      </c>
      <c r="E48" vm="758">
        <f ca="1"/>
        <v>39.979999999999997</v>
      </c>
      <c r="F48" vm="759">
        <f ca="1"/>
        <v>1589.2322999999999</v>
      </c>
      <c r="G48" vm="760">
        <f ca="1"/>
        <v>76.8</v>
      </c>
      <c r="H48" vm="761">
        <f ca="1"/>
        <v>80.28</v>
      </c>
      <c r="I48" vm="762">
        <f ca="1"/>
        <v>48.61</v>
      </c>
      <c r="J48" vm="454">
        <f ca="1"/>
        <v>0.65</v>
      </c>
      <c r="K48" vm="763">
        <f ca="1"/>
        <v>6.1</v>
      </c>
      <c r="L48" vm="764">
        <f ca="1"/>
        <v>7.59</v>
      </c>
      <c r="M48" vm="765">
        <f ca="1"/>
        <v>370.54</v>
      </c>
      <c r="N48" vm="766">
        <f ca="1"/>
        <v>0.41199999999999998</v>
      </c>
      <c r="O48" vm="767">
        <f ca="1"/>
        <v>123.6</v>
      </c>
      <c r="P48" vm="768">
        <f ca="1"/>
        <v>31</v>
      </c>
      <c r="Q48" vm="769">
        <f ca="1"/>
        <v>25.67</v>
      </c>
      <c r="R48" vm="770">
        <f ca="1"/>
        <v>5.72</v>
      </c>
      <c r="S48" vm="771">
        <f ca="1"/>
        <v>164.43</v>
      </c>
      <c r="T48" vm="772">
        <f ca="1"/>
        <v>11.45</v>
      </c>
    </row>
    <row r="49" spans="1:20" x14ac:dyDescent="0.2">
      <c r="B49" t="s">
        <v>11</v>
      </c>
      <c r="C49" vm="773">
        <f ca="1"/>
        <v>43.767499999999998</v>
      </c>
      <c r="D49" vm="774">
        <f ca="1"/>
        <v>126.99</v>
      </c>
      <c r="E49" vm="775">
        <f ca="1"/>
        <v>40.1</v>
      </c>
      <c r="F49" vm="776">
        <f ca="1"/>
        <v>1542.3653999999999</v>
      </c>
      <c r="G49" vm="777">
        <f ca="1"/>
        <v>78.63</v>
      </c>
      <c r="H49" vm="778">
        <f ca="1"/>
        <v>70.77</v>
      </c>
      <c r="I49" vm="779">
        <f ca="1"/>
        <v>49.552500000000002</v>
      </c>
      <c r="J49" vm="611">
        <f ca="1"/>
        <v>0.54</v>
      </c>
      <c r="K49" vm="780">
        <f ca="1"/>
        <v>5.69</v>
      </c>
      <c r="L49" vm="781">
        <f ca="1"/>
        <v>6.98</v>
      </c>
      <c r="M49" vm="782">
        <f ca="1"/>
        <v>343.28</v>
      </c>
      <c r="N49" vm="783">
        <f ca="1"/>
        <v>0.32519999999999999</v>
      </c>
      <c r="O49" vm="784">
        <f ca="1"/>
        <v>117.58</v>
      </c>
      <c r="P49" vm="785">
        <f ca="1"/>
        <v>30.6</v>
      </c>
      <c r="Q49" vm="786">
        <f ca="1"/>
        <v>22.830100000000002</v>
      </c>
      <c r="R49" vm="787">
        <f ca="1"/>
        <v>5.3890000000000002</v>
      </c>
      <c r="S49" vm="788">
        <f ca="1"/>
        <v>161.33000000000001</v>
      </c>
      <c r="T49" vm="789">
        <f ca="1"/>
        <v>12</v>
      </c>
    </row>
    <row r="50" spans="1:20" x14ac:dyDescent="0.2">
      <c r="B50" t="s">
        <v>12</v>
      </c>
      <c r="C50" vm="790">
        <f ca="1"/>
        <v>49.48</v>
      </c>
      <c r="D50" vm="791">
        <f ca="1"/>
        <v>137.9</v>
      </c>
      <c r="E50" vm="792">
        <f ca="1"/>
        <v>36.950000000000003</v>
      </c>
      <c r="F50" vm="793">
        <f ca="1"/>
        <v>1592.4645</v>
      </c>
      <c r="G50" vm="794">
        <f ca="1"/>
        <v>84.96</v>
      </c>
      <c r="H50" vm="795">
        <f ca="1"/>
        <v>76.63</v>
      </c>
      <c r="I50" vm="796">
        <f ca="1"/>
        <v>51.215000000000003</v>
      </c>
      <c r="J50" vm="797">
        <f ca="1"/>
        <v>0.55000000000000004</v>
      </c>
      <c r="K50" vm="798">
        <f ca="1"/>
        <v>5.89</v>
      </c>
      <c r="L50" vm="799">
        <f ca="1"/>
        <v>9.44</v>
      </c>
      <c r="M50" vm="800">
        <f ca="1"/>
        <v>367.32</v>
      </c>
      <c r="N50" vm="801">
        <f ca="1"/>
        <v>0.38019999999999998</v>
      </c>
      <c r="O50" vm="802">
        <f ca="1"/>
        <v>123.99</v>
      </c>
      <c r="P50" vm="803">
        <f ca="1"/>
        <v>30.4</v>
      </c>
      <c r="Q50" vm="804">
        <f ca="1"/>
        <v>25.07</v>
      </c>
      <c r="R50" vm="805">
        <f ca="1"/>
        <v>6.298</v>
      </c>
      <c r="S50" vm="806">
        <f ca="1"/>
        <v>173.55</v>
      </c>
      <c r="T50" vm="807">
        <f ca="1"/>
        <v>12.59</v>
      </c>
    </row>
    <row r="51" spans="1:20" x14ac:dyDescent="0.2">
      <c r="B51" t="s">
        <v>13</v>
      </c>
      <c r="C51" vm="808">
        <f ca="1"/>
        <v>53.26</v>
      </c>
      <c r="D51" vm="809">
        <f ca="1"/>
        <v>148.24</v>
      </c>
      <c r="E51" vm="810">
        <f ca="1"/>
        <v>36.299999999999997</v>
      </c>
      <c r="F51" vm="811">
        <f ca="1"/>
        <v>1719.7324000000001</v>
      </c>
      <c r="G51" vm="812">
        <f ca="1"/>
        <v>84.92</v>
      </c>
      <c r="H51" vm="813">
        <f ca="1"/>
        <v>74.36</v>
      </c>
      <c r="I51" vm="814">
        <f ca="1"/>
        <v>51.792499999999997</v>
      </c>
      <c r="J51" vm="815">
        <f ca="1"/>
        <v>0.6</v>
      </c>
      <c r="K51" vm="816">
        <f ca="1"/>
        <v>5.6</v>
      </c>
      <c r="L51" vm="817">
        <f ca="1"/>
        <v>13.61</v>
      </c>
      <c r="M51" vm="818">
        <f ca="1"/>
        <v>322.99</v>
      </c>
      <c r="N51" vm="819">
        <f ca="1"/>
        <v>0.40699999999999997</v>
      </c>
      <c r="O51" vm="820">
        <f ca="1"/>
        <v>129.05000000000001</v>
      </c>
      <c r="P51" vm="633">
        <f ca="1"/>
        <v>33</v>
      </c>
      <c r="Q51" vm="821">
        <f ca="1"/>
        <v>26.52</v>
      </c>
      <c r="R51" vm="822">
        <f ca="1"/>
        <v>6</v>
      </c>
      <c r="S51" vm="823">
        <f ca="1"/>
        <v>178</v>
      </c>
      <c r="T51" vm="824">
        <f ca="1"/>
        <v>12.21</v>
      </c>
    </row>
    <row r="52" spans="1:20" x14ac:dyDescent="0.2">
      <c r="B52" t="s">
        <v>14</v>
      </c>
      <c r="C52" vm="825">
        <f ca="1"/>
        <v>52.185000000000002</v>
      </c>
      <c r="D52" vm="826">
        <f ca="1"/>
        <v>135.53</v>
      </c>
      <c r="E52" vm="827">
        <f ca="1"/>
        <v>35.479999999999997</v>
      </c>
      <c r="F52" vm="828">
        <f ca="1"/>
        <v>1728.8230000000001</v>
      </c>
      <c r="G52" vm="829">
        <f ca="1"/>
        <v>81.819999999999993</v>
      </c>
      <c r="H52" vm="830">
        <f ca="1"/>
        <v>68.48</v>
      </c>
      <c r="I52" vm="831">
        <f ca="1"/>
        <v>54.77</v>
      </c>
      <c r="J52" vm="593">
        <f ca="1"/>
        <v>0.5</v>
      </c>
      <c r="K52" vm="832">
        <f ca="1"/>
        <v>5.29</v>
      </c>
      <c r="L52" vm="833">
        <f ca="1"/>
        <v>11.23</v>
      </c>
      <c r="M52" vm="834">
        <f ca="1"/>
        <v>293.75</v>
      </c>
      <c r="N52" vm="835">
        <f ca="1"/>
        <v>0.34760000000000002</v>
      </c>
      <c r="O52" vm="836">
        <f ca="1"/>
        <v>130.63</v>
      </c>
      <c r="P52" vm="837">
        <f ca="1"/>
        <v>36.5</v>
      </c>
      <c r="Q52" vm="838">
        <f ca="1"/>
        <v>26.69</v>
      </c>
      <c r="R52" vm="839">
        <f ca="1"/>
        <v>6.06</v>
      </c>
      <c r="S52" vm="840">
        <f ca="1"/>
        <v>180.82</v>
      </c>
      <c r="T52" vm="833">
        <f ca="1"/>
        <v>11.23</v>
      </c>
    </row>
    <row r="53" spans="1:20" x14ac:dyDescent="0.2">
      <c r="B53" t="s">
        <v>3</v>
      </c>
      <c r="C53" vm="841">
        <f ca="1"/>
        <v>55.9925</v>
      </c>
      <c r="D53" vm="842">
        <f ca="1"/>
        <v>145.41999999999999</v>
      </c>
      <c r="E53" vm="843">
        <f ca="1"/>
        <v>40.31</v>
      </c>
      <c r="F53" vm="844">
        <f ca="1"/>
        <v>1762.155</v>
      </c>
      <c r="G53" vm="845">
        <f ca="1"/>
        <v>74.23</v>
      </c>
      <c r="H53" vm="846">
        <f ca="1"/>
        <v>70.61</v>
      </c>
      <c r="I53" vm="847">
        <f ca="1"/>
        <v>58.247500000000002</v>
      </c>
      <c r="J53" vm="848">
        <f ca="1"/>
        <v>0.495</v>
      </c>
      <c r="K53" vm="849">
        <f ca="1"/>
        <v>5.2</v>
      </c>
      <c r="L53" vm="850">
        <f ca="1"/>
        <v>10.27</v>
      </c>
      <c r="M53" vm="851">
        <f ca="1"/>
        <v>267.62</v>
      </c>
      <c r="N53" vm="852">
        <f ca="1"/>
        <v>0.33200000000000002</v>
      </c>
      <c r="O53" vm="853">
        <f ca="1"/>
        <v>134.49</v>
      </c>
      <c r="P53" vm="854">
        <f ca="1"/>
        <v>36.15</v>
      </c>
      <c r="Q53" vm="1">
        <f ca="1"/>
        <v>28.19</v>
      </c>
      <c r="R53" vm="855">
        <f ca="1"/>
        <v>5.8449999999999998</v>
      </c>
      <c r="S53" vm="856">
        <f ca="1"/>
        <v>172.01</v>
      </c>
      <c r="T53" vm="857">
        <f ca="1"/>
        <v>12.18</v>
      </c>
    </row>
    <row r="54" spans="1:20" x14ac:dyDescent="0.2">
      <c r="B54" t="s">
        <v>4</v>
      </c>
      <c r="C54" vm="858">
        <f ca="1"/>
        <v>62.19</v>
      </c>
      <c r="D54" vm="859">
        <f ca="1"/>
        <v>133.72999999999999</v>
      </c>
      <c r="E54" vm="860">
        <f ca="1"/>
        <v>38.909999999999997</v>
      </c>
      <c r="F54" vm="861">
        <f ca="1"/>
        <v>1786.3965000000001</v>
      </c>
      <c r="G54" vm="862">
        <f ca="1"/>
        <v>83.92</v>
      </c>
      <c r="H54" vm="863">
        <f ca="1"/>
        <v>67.569999999999993</v>
      </c>
      <c r="I54" vm="864">
        <f ca="1"/>
        <v>59.585000000000001</v>
      </c>
      <c r="J54" vm="611">
        <f ca="1"/>
        <v>0.54</v>
      </c>
      <c r="K54" vm="865">
        <f ca="1"/>
        <v>5.12</v>
      </c>
      <c r="L54" vm="866">
        <f ca="1"/>
        <v>11.06</v>
      </c>
      <c r="M54" vm="867">
        <f ca="1"/>
        <v>287.41000000000003</v>
      </c>
      <c r="N54" vm="868">
        <f ca="1"/>
        <v>0.317</v>
      </c>
      <c r="O54" vm="869">
        <f ca="1"/>
        <v>138.55000000000001</v>
      </c>
      <c r="P54" vm="870">
        <f ca="1"/>
        <v>37.9</v>
      </c>
      <c r="Q54" vm="871">
        <f ca="1"/>
        <v>30.36</v>
      </c>
      <c r="R54" vm="753">
        <f ca="1"/>
        <v>5.8</v>
      </c>
      <c r="S54" vm="872">
        <f ca="1"/>
        <v>178.86</v>
      </c>
      <c r="T54" vm="873">
        <f ca="1"/>
        <v>13.03</v>
      </c>
    </row>
    <row r="55" spans="1:20" x14ac:dyDescent="0.2">
      <c r="B55" t="s">
        <v>5</v>
      </c>
      <c r="C55" vm="874">
        <f ca="1"/>
        <v>66.8125</v>
      </c>
      <c r="D55" vm="875">
        <f ca="1"/>
        <v>134.44999999999999</v>
      </c>
      <c r="E55" vm="876">
        <f ca="1"/>
        <v>42.83</v>
      </c>
      <c r="F55" vm="877">
        <f ca="1"/>
        <v>1771.6496</v>
      </c>
      <c r="G55" vm="878">
        <f ca="1"/>
        <v>94.16</v>
      </c>
      <c r="H55" vm="879">
        <f ca="1"/>
        <v>68.13</v>
      </c>
      <c r="I55" vm="880">
        <f ca="1"/>
        <v>58.454999999999998</v>
      </c>
      <c r="J55" vm="593">
        <f ca="1"/>
        <v>0.5</v>
      </c>
      <c r="K55" vm="881">
        <f ca="1"/>
        <v>5.25</v>
      </c>
      <c r="L55" vm="882">
        <f ca="1"/>
        <v>11.17</v>
      </c>
      <c r="M55" vm="883">
        <f ca="1"/>
        <v>314.66000000000003</v>
      </c>
      <c r="N55" vm="884">
        <f ca="1"/>
        <v>0.31580000000000003</v>
      </c>
      <c r="O55" vm="885">
        <f ca="1"/>
        <v>140.21</v>
      </c>
      <c r="P55" vm="886">
        <f ca="1"/>
        <v>40.1</v>
      </c>
      <c r="Q55" vm="887">
        <f ca="1"/>
        <v>29.78</v>
      </c>
      <c r="R55" vm="888">
        <f ca="1"/>
        <v>5.7880000000000003</v>
      </c>
      <c r="S55" vm="889">
        <f ca="1"/>
        <v>184.51</v>
      </c>
      <c r="T55" vm="890">
        <f ca="1"/>
        <v>14.09</v>
      </c>
    </row>
    <row r="56" spans="1:20" x14ac:dyDescent="0.2">
      <c r="A56">
        <v>2020</v>
      </c>
      <c r="B56" t="s">
        <v>6</v>
      </c>
      <c r="C56" vm="891">
        <f ca="1"/>
        <v>73.412499999999994</v>
      </c>
      <c r="D56" vm="892">
        <f ca="1"/>
        <v>134.04</v>
      </c>
      <c r="E56" vm="893">
        <f ca="1"/>
        <v>42.72</v>
      </c>
      <c r="F56" vm="894">
        <f ca="1"/>
        <v>1796.9012</v>
      </c>
      <c r="G56" vm="895">
        <f ca="1"/>
        <v>87.32</v>
      </c>
      <c r="H56" vm="896">
        <f ca="1"/>
        <v>69.78</v>
      </c>
      <c r="I56" vm="897">
        <f ca="1"/>
        <v>60.54</v>
      </c>
      <c r="J56" vm="898">
        <f ca="1"/>
        <v>0.46</v>
      </c>
      <c r="K56" vm="899">
        <f ca="1"/>
        <v>5.43</v>
      </c>
      <c r="L56" vm="900">
        <f ca="1"/>
        <v>10.87</v>
      </c>
      <c r="M56" vm="901">
        <f ca="1"/>
        <v>323.57</v>
      </c>
      <c r="N56" vm="902">
        <f ca="1"/>
        <v>0.3296</v>
      </c>
      <c r="O56" vm="903">
        <f ca="1"/>
        <v>140.54</v>
      </c>
      <c r="P56" vm="904">
        <f ca="1"/>
        <v>43.3</v>
      </c>
      <c r="Q56" vm="905">
        <f ca="1"/>
        <v>30.28</v>
      </c>
      <c r="R56" vm="753">
        <f ca="1"/>
        <v>5.8</v>
      </c>
      <c r="S56" vm="906">
        <f ca="1"/>
        <v>187.9</v>
      </c>
      <c r="T56" vm="907">
        <f ca="1"/>
        <v>15.09</v>
      </c>
    </row>
    <row r="57" spans="1:20" x14ac:dyDescent="0.2">
      <c r="B57" t="s">
        <v>7</v>
      </c>
      <c r="C57" vm="908">
        <f ca="1"/>
        <v>77.377499999999998</v>
      </c>
      <c r="D57" vm="909">
        <f ca="1"/>
        <v>143.72999999999999</v>
      </c>
      <c r="E57" vm="910">
        <f ca="1"/>
        <v>44.81</v>
      </c>
      <c r="F57" vm="911">
        <f ca="1"/>
        <v>1801.9514999999999</v>
      </c>
      <c r="G57" vm="912">
        <f ca="1"/>
        <v>73.069999999999993</v>
      </c>
      <c r="H57" vm="913">
        <f ca="1"/>
        <v>62.12</v>
      </c>
      <c r="I57" vm="914">
        <f ca="1"/>
        <v>67.05</v>
      </c>
      <c r="J57" vm="915">
        <f ca="1"/>
        <v>0.37</v>
      </c>
      <c r="K57" vm="832">
        <f ca="1"/>
        <v>5.29</v>
      </c>
      <c r="L57" vm="916">
        <f ca="1"/>
        <v>10.3</v>
      </c>
      <c r="M57" vm="917">
        <f ca="1"/>
        <v>345.09</v>
      </c>
      <c r="N57" vm="918">
        <f ca="1"/>
        <v>0.312</v>
      </c>
      <c r="O57" vm="919">
        <f ca="1"/>
        <v>138.84</v>
      </c>
      <c r="P57" vm="920">
        <f ca="1"/>
        <v>46.95</v>
      </c>
      <c r="Q57" vm="921">
        <f ca="1"/>
        <v>33.255000000000003</v>
      </c>
      <c r="R57" vm="922">
        <f ca="1"/>
        <v>6.07</v>
      </c>
      <c r="S57" vm="923">
        <f ca="1"/>
        <v>198.97</v>
      </c>
      <c r="T57" vm="924">
        <f ca="1"/>
        <v>14.58</v>
      </c>
    </row>
    <row r="58" spans="1:20" x14ac:dyDescent="0.2">
      <c r="B58" t="s">
        <v>8</v>
      </c>
      <c r="C58" vm="925">
        <f ca="1"/>
        <v>68.34</v>
      </c>
      <c r="D58" vm="926">
        <f ca="1"/>
        <v>130.15</v>
      </c>
      <c r="E58" vm="927">
        <f ca="1"/>
        <v>41.32</v>
      </c>
      <c r="F58" vm="928">
        <f ca="1"/>
        <v>1577.9195999999999</v>
      </c>
      <c r="G58" vm="929">
        <f ca="1"/>
        <v>75.41</v>
      </c>
      <c r="H58" vm="930">
        <f ca="1"/>
        <v>51.44</v>
      </c>
      <c r="I58" vm="931">
        <f ca="1"/>
        <v>63.19</v>
      </c>
      <c r="J58" vm="932">
        <f ca="1"/>
        <v>0.38</v>
      </c>
      <c r="K58" vm="933">
        <f ca="1"/>
        <v>4.6500000000000004</v>
      </c>
      <c r="L58" vm="934">
        <f ca="1"/>
        <v>13.85</v>
      </c>
      <c r="M58" vm="935">
        <f ca="1"/>
        <v>369.03</v>
      </c>
      <c r="N58" vm="936">
        <f ca="1"/>
        <v>0.25740000000000002</v>
      </c>
      <c r="O58" vm="937">
        <f ca="1"/>
        <v>130.75</v>
      </c>
      <c r="P58" vm="904">
        <f ca="1"/>
        <v>43.3</v>
      </c>
      <c r="Q58" vm="938">
        <f ca="1"/>
        <v>31.27</v>
      </c>
      <c r="R58" vm="939">
        <f ca="1"/>
        <v>5.03</v>
      </c>
      <c r="S58" vm="940">
        <f ca="1"/>
        <v>181.76</v>
      </c>
      <c r="T58" vm="941">
        <f ca="1"/>
        <v>13.87</v>
      </c>
    </row>
    <row r="59" spans="1:20" x14ac:dyDescent="0.2">
      <c r="B59" t="s">
        <v>9</v>
      </c>
      <c r="C59" vm="942">
        <f ca="1"/>
        <v>63.572499999999998</v>
      </c>
      <c r="D59" vm="943">
        <f ca="1"/>
        <v>110.93</v>
      </c>
      <c r="E59" vm="944">
        <f ca="1"/>
        <v>34.39</v>
      </c>
      <c r="F59" vm="945">
        <f ca="1"/>
        <v>1529.8407</v>
      </c>
      <c r="G59" vm="946">
        <f ca="1"/>
        <v>73.23</v>
      </c>
      <c r="H59" vm="947">
        <f ca="1"/>
        <v>37.97</v>
      </c>
      <c r="I59" vm="948">
        <f ca="1"/>
        <v>60.155000000000001</v>
      </c>
      <c r="J59" vm="949">
        <f ca="1"/>
        <v>0.41</v>
      </c>
      <c r="K59" vm="950">
        <f ca="1"/>
        <v>4.9000000000000004</v>
      </c>
      <c r="L59" vm="951">
        <f ca="1"/>
        <v>13.59</v>
      </c>
      <c r="M59" vm="952">
        <f ca="1"/>
        <v>375.5</v>
      </c>
      <c r="N59" vm="953">
        <f ca="1"/>
        <v>0.25159999999999999</v>
      </c>
      <c r="O59" vm="954">
        <f ca="1"/>
        <v>119.95</v>
      </c>
      <c r="P59" vm="955">
        <f ca="1"/>
        <v>42.15</v>
      </c>
      <c r="Q59" vm="956">
        <f ca="1"/>
        <v>25.55</v>
      </c>
      <c r="R59" vm="957">
        <f ca="1"/>
        <v>3.16</v>
      </c>
      <c r="S59" vm="958">
        <f ca="1"/>
        <v>161.12</v>
      </c>
      <c r="T59" vm="959">
        <f ca="1"/>
        <v>8.5</v>
      </c>
    </row>
    <row r="60" spans="1:20" x14ac:dyDescent="0.2">
      <c r="B60" t="s">
        <v>10</v>
      </c>
      <c r="C60" vm="960">
        <f ca="1"/>
        <v>73.45</v>
      </c>
      <c r="D60" vm="961">
        <f ca="1"/>
        <v>125.56</v>
      </c>
      <c r="E60" vm="962">
        <f ca="1"/>
        <v>42.08</v>
      </c>
      <c r="F60" vm="963">
        <f ca="1"/>
        <v>1677.7138</v>
      </c>
      <c r="G60" vm="964">
        <f ca="1"/>
        <v>97.66</v>
      </c>
      <c r="H60" vm="965">
        <f ca="1"/>
        <v>46.47</v>
      </c>
      <c r="I60" vm="966">
        <f ca="1"/>
        <v>57.78</v>
      </c>
      <c r="J60" vm="967">
        <f ca="1"/>
        <v>0.68</v>
      </c>
      <c r="K60" vm="968">
        <f ca="1"/>
        <v>4.3</v>
      </c>
      <c r="L60" vm="443">
        <f ca="1"/>
        <v>34.5</v>
      </c>
      <c r="M60" vm="969">
        <f ca="1"/>
        <v>419.85</v>
      </c>
      <c r="N60" vm="387">
        <f ca="1"/>
        <v>0.3075</v>
      </c>
      <c r="O60" vm="970">
        <f ca="1"/>
        <v>123.59</v>
      </c>
      <c r="P60" vm="971">
        <f ca="1"/>
        <v>59.5</v>
      </c>
      <c r="Q60" vm="972">
        <f ca="1"/>
        <v>25.6</v>
      </c>
      <c r="R60" vm="973">
        <f ca="1"/>
        <v>3.3460000000000001</v>
      </c>
      <c r="S60" vm="974">
        <f ca="1"/>
        <v>178.72</v>
      </c>
      <c r="T60" vm="975">
        <f ca="1"/>
        <v>9.76</v>
      </c>
    </row>
    <row r="61" spans="1:20" x14ac:dyDescent="0.2">
      <c r="B61" t="s">
        <v>11</v>
      </c>
      <c r="C61" vm="976">
        <f ca="1"/>
        <v>79.484999999999999</v>
      </c>
      <c r="D61" vm="977">
        <f ca="1"/>
        <v>124.9</v>
      </c>
      <c r="E61" vm="978">
        <f ca="1"/>
        <v>47.59</v>
      </c>
      <c r="F61" vm="979">
        <f ca="1"/>
        <v>1688.6224999999999</v>
      </c>
      <c r="G61" vm="980">
        <f ca="1"/>
        <v>101.91</v>
      </c>
      <c r="H61" vm="981">
        <f ca="1"/>
        <v>45.47</v>
      </c>
      <c r="I61" vm="982">
        <f ca="1"/>
        <v>63.89</v>
      </c>
      <c r="J61" vm="983">
        <f ca="1"/>
        <v>1.43</v>
      </c>
      <c r="K61" vm="984">
        <f ca="1"/>
        <v>4.5</v>
      </c>
      <c r="L61" vm="985">
        <f ca="1"/>
        <v>38.94</v>
      </c>
      <c r="M61" vm="986">
        <f ca="1"/>
        <v>419.73</v>
      </c>
      <c r="N61" vm="987">
        <f ca="1"/>
        <v>0.28249999999999997</v>
      </c>
      <c r="O61" vm="988">
        <f ca="1"/>
        <v>126.01</v>
      </c>
      <c r="P61" vm="989">
        <f ca="1"/>
        <v>61.5</v>
      </c>
      <c r="Q61" vm="990">
        <f ca="1"/>
        <v>24.58</v>
      </c>
      <c r="R61" vm="991">
        <f ca="1"/>
        <v>3.0350000000000001</v>
      </c>
      <c r="S61" vm="992">
        <f ca="1"/>
        <v>195.24</v>
      </c>
      <c r="T61" vm="993">
        <f ca="1"/>
        <v>8.6999999999999993</v>
      </c>
    </row>
    <row r="62" spans="1:20" x14ac:dyDescent="0.2">
      <c r="B62" t="s">
        <v>12</v>
      </c>
      <c r="C62" vm="994">
        <f ca="1"/>
        <v>91.2</v>
      </c>
      <c r="D62" vm="995">
        <f ca="1"/>
        <v>120.77</v>
      </c>
      <c r="E62" vm="996">
        <f ca="1"/>
        <v>52.9</v>
      </c>
      <c r="F62" vm="997">
        <f ca="1"/>
        <v>1653.0682999999999</v>
      </c>
      <c r="G62" vm="998">
        <f ca="1"/>
        <v>103.97</v>
      </c>
      <c r="H62" vm="999">
        <f ca="1"/>
        <v>44.72</v>
      </c>
      <c r="I62" vm="1000">
        <f ca="1"/>
        <v>60.042499999999997</v>
      </c>
      <c r="J62" vm="1001">
        <f ca="1"/>
        <v>2.29</v>
      </c>
      <c r="K62" vm="1002">
        <f ca="1"/>
        <v>4.01</v>
      </c>
      <c r="L62" vm="1003">
        <f ca="1"/>
        <v>46.74</v>
      </c>
      <c r="M62" vm="1004">
        <f ca="1"/>
        <v>455.04</v>
      </c>
      <c r="N62" vm="1005">
        <f ca="1"/>
        <v>0.28449999999999998</v>
      </c>
      <c r="O62" vm="1006">
        <f ca="1"/>
        <v>125.63</v>
      </c>
      <c r="P62" vm="1007">
        <f ca="1"/>
        <v>63.6</v>
      </c>
      <c r="Q62" vm="1008">
        <f ca="1"/>
        <v>24</v>
      </c>
      <c r="R62" vm="1009">
        <f ca="1"/>
        <v>3.2719999999999998</v>
      </c>
      <c r="S62" vm="1010">
        <f ca="1"/>
        <v>193.17</v>
      </c>
      <c r="T62" vm="1011">
        <f ca="1"/>
        <v>9.2899999999999991</v>
      </c>
    </row>
    <row r="63" spans="1:20" x14ac:dyDescent="0.2">
      <c r="B63" t="s">
        <v>13</v>
      </c>
      <c r="C63" vm="1012">
        <f ca="1"/>
        <v>106.26</v>
      </c>
      <c r="D63" vm="531">
        <f ca="1"/>
        <v>122.94</v>
      </c>
      <c r="E63" vm="1013">
        <f ca="1"/>
        <v>56.33</v>
      </c>
      <c r="F63" vm="589">
        <f ca="1"/>
        <v>1545.1936000000001</v>
      </c>
      <c r="G63" vm="1014">
        <f ca="1"/>
        <v>98.76</v>
      </c>
      <c r="H63" vm="962">
        <f ca="1"/>
        <v>42.08</v>
      </c>
      <c r="I63" vm="1015">
        <f ca="1"/>
        <v>70.174999999999997</v>
      </c>
      <c r="J63" vm="1016">
        <f ca="1"/>
        <v>5.48</v>
      </c>
      <c r="K63" vm="1017">
        <f ca="1"/>
        <v>4.87</v>
      </c>
      <c r="L63" vm="1018">
        <f ca="1"/>
        <v>52.23</v>
      </c>
      <c r="M63" vm="1019">
        <f ca="1"/>
        <v>488.88</v>
      </c>
      <c r="N63" vm="1020">
        <f ca="1"/>
        <v>0.255</v>
      </c>
      <c r="O63" vm="1021">
        <f ca="1"/>
        <v>119.34</v>
      </c>
      <c r="P63" vm="1022">
        <f ca="1"/>
        <v>88.4</v>
      </c>
      <c r="Q63" vm="1023">
        <f ca="1"/>
        <v>25.74</v>
      </c>
      <c r="R63" vm="1024">
        <f ca="1"/>
        <v>3.13</v>
      </c>
      <c r="S63" vm="1025">
        <f ca="1"/>
        <v>190.4</v>
      </c>
      <c r="T63" vm="1026">
        <f ca="1"/>
        <v>9.39</v>
      </c>
    </row>
    <row r="64" spans="1:20" x14ac:dyDescent="0.2">
      <c r="B64" t="s">
        <v>14</v>
      </c>
      <c r="C64" vm="1027">
        <f ca="1"/>
        <v>129.04</v>
      </c>
      <c r="D64" vm="1028">
        <f ca="1"/>
        <v>123.31</v>
      </c>
      <c r="E64" vm="1029">
        <f ca="1"/>
        <v>60.95</v>
      </c>
      <c r="F64" vm="1030">
        <f ca="1"/>
        <v>1486.8119999999999</v>
      </c>
      <c r="G64" vm="1031">
        <f ca="1"/>
        <v>96.35</v>
      </c>
      <c r="H64" vm="1032">
        <f ca="1"/>
        <v>39.94</v>
      </c>
      <c r="I64" vm="1033">
        <f ca="1"/>
        <v>69.792500000000004</v>
      </c>
      <c r="J64" vm="1034">
        <f ca="1"/>
        <v>5.07</v>
      </c>
      <c r="K64" vm="1035">
        <f ca="1"/>
        <v>4.6399999999999997</v>
      </c>
      <c r="L64" vm="1036">
        <f ca="1"/>
        <v>48.24</v>
      </c>
      <c r="M64" vm="1037">
        <f ca="1"/>
        <v>529.55999999999995</v>
      </c>
      <c r="N64" vm="1038">
        <f ca="1"/>
        <v>0.30099999999999999</v>
      </c>
      <c r="O64" vm="1039">
        <f ca="1"/>
        <v>132.43</v>
      </c>
      <c r="P64" vm="1040">
        <f ca="1"/>
        <v>91</v>
      </c>
      <c r="Q64" vm="1041">
        <f ca="1"/>
        <v>27.91</v>
      </c>
      <c r="R64" vm="1042">
        <f ca="1"/>
        <v>3.35</v>
      </c>
      <c r="S64" vm="1043">
        <f ca="1"/>
        <v>211.99</v>
      </c>
      <c r="T64" vm="1044">
        <f ca="1"/>
        <v>10.74</v>
      </c>
    </row>
    <row r="65" spans="1:20" x14ac:dyDescent="0.2">
      <c r="B65" t="s">
        <v>3</v>
      </c>
      <c r="C65" vm="1045">
        <f ca="1"/>
        <v>115.81</v>
      </c>
      <c r="D65" vm="1046">
        <f ca="1"/>
        <v>121.67</v>
      </c>
      <c r="E65" vm="1047">
        <f ca="1"/>
        <v>56.98</v>
      </c>
      <c r="F65" vm="1048">
        <f ca="1"/>
        <v>1466.6107999999999</v>
      </c>
      <c r="G65" vm="1049">
        <f ca="1"/>
        <v>89.74</v>
      </c>
      <c r="H65" vm="1050">
        <f ca="1"/>
        <v>34.33</v>
      </c>
      <c r="I65" vm="1051">
        <f ca="1"/>
        <v>69.39</v>
      </c>
      <c r="J65" vm="1052">
        <f ca="1"/>
        <v>4.04</v>
      </c>
      <c r="K65" vm="1053">
        <f ca="1"/>
        <v>4.79</v>
      </c>
      <c r="L65" vm="1054">
        <f ca="1"/>
        <v>42.9</v>
      </c>
      <c r="M65" vm="1055">
        <f ca="1"/>
        <v>500.03</v>
      </c>
      <c r="N65" vm="1056">
        <f ca="1"/>
        <v>0.27500000000000002</v>
      </c>
      <c r="O65" vm="1057">
        <f ca="1"/>
        <v>132.44</v>
      </c>
      <c r="P65" vm="1058">
        <f ca="1"/>
        <v>90.9</v>
      </c>
      <c r="Q65" vm="361">
        <f ca="1"/>
        <v>25.05</v>
      </c>
      <c r="R65" vm="1059">
        <f ca="1"/>
        <v>2.84</v>
      </c>
      <c r="S65" vm="1060">
        <f ca="1"/>
        <v>199.97</v>
      </c>
      <c r="T65" vm="1061">
        <f ca="1"/>
        <v>9.83</v>
      </c>
    </row>
    <row r="66" spans="1:20" x14ac:dyDescent="0.2">
      <c r="B66" t="s">
        <v>4</v>
      </c>
      <c r="C66" vm="1062">
        <f ca="1"/>
        <v>108.86</v>
      </c>
      <c r="D66" vm="1063">
        <f ca="1"/>
        <v>111.66</v>
      </c>
      <c r="E66" vm="10">
        <f ca="1"/>
        <v>53.76</v>
      </c>
      <c r="F66" vm="1064">
        <f ca="1"/>
        <v>1304.7987000000001</v>
      </c>
      <c r="G66" vm="1065">
        <f ca="1"/>
        <v>86.64</v>
      </c>
      <c r="H66" vm="115">
        <f ca="1"/>
        <v>32.619999999999997</v>
      </c>
      <c r="I66" vm="1066">
        <f ca="1"/>
        <v>73.209999999999994</v>
      </c>
      <c r="J66" vm="1067">
        <f ca="1"/>
        <v>3.58</v>
      </c>
      <c r="K66" vm="1068">
        <f ca="1"/>
        <v>5.55</v>
      </c>
      <c r="L66" vm="1069">
        <f ca="1"/>
        <v>54.08</v>
      </c>
      <c r="M66" vm="1070">
        <f ca="1"/>
        <v>475.74</v>
      </c>
      <c r="N66" vm="1071">
        <f ca="1"/>
        <v>0.3725</v>
      </c>
      <c r="O66" vm="1072">
        <f ca="1"/>
        <v>131.29</v>
      </c>
      <c r="P66" vm="1073">
        <f ca="1"/>
        <v>95.4</v>
      </c>
      <c r="Q66" vm="1074">
        <f ca="1"/>
        <v>20.88</v>
      </c>
      <c r="R66" vm="1075">
        <f ca="1"/>
        <v>2.31</v>
      </c>
      <c r="S66" vm="1076">
        <f ca="1"/>
        <v>181.71</v>
      </c>
      <c r="T66" vm="1077">
        <f ca="1"/>
        <v>10.55</v>
      </c>
    </row>
    <row r="67" spans="1:20" x14ac:dyDescent="0.2">
      <c r="B67" t="s">
        <v>5</v>
      </c>
      <c r="C67" vm="1078">
        <f ca="1"/>
        <v>119.05</v>
      </c>
      <c r="D67" vm="1079">
        <f ca="1"/>
        <v>123.52</v>
      </c>
      <c r="E67" vm="1080">
        <f ca="1"/>
        <v>59.29</v>
      </c>
      <c r="F67" vm="1081">
        <f ca="1"/>
        <v>1383.7855999999999</v>
      </c>
      <c r="G67" vm="1082">
        <f ca="1"/>
        <v>84.54</v>
      </c>
      <c r="H67" vm="1083">
        <f ca="1"/>
        <v>38.130000000000003</v>
      </c>
      <c r="I67" vm="1084">
        <f ca="1"/>
        <v>73.59</v>
      </c>
      <c r="J67" vm="1085">
        <f ca="1"/>
        <v>3.71</v>
      </c>
      <c r="K67" vm="1086">
        <f ca="1"/>
        <v>5.39</v>
      </c>
      <c r="L67" vm="1087">
        <f ca="1"/>
        <v>91.76</v>
      </c>
      <c r="M67" vm="1088">
        <f ca="1"/>
        <v>490.7</v>
      </c>
      <c r="N67" vm="1089">
        <f ca="1"/>
        <v>0.376</v>
      </c>
      <c r="O67" vm="1090">
        <f ca="1"/>
        <v>134.46</v>
      </c>
      <c r="P67" vm="1091">
        <f ca="1"/>
        <v>95.5</v>
      </c>
      <c r="Q67" vm="1092">
        <f ca="1"/>
        <v>27.25</v>
      </c>
      <c r="R67" vm="1093">
        <f ca="1"/>
        <v>3.51</v>
      </c>
      <c r="S67" vm="1094">
        <f ca="1"/>
        <v>210.35</v>
      </c>
      <c r="T67" vm="1095">
        <f ca="1"/>
        <v>12.86</v>
      </c>
    </row>
    <row r="68" spans="1:20" x14ac:dyDescent="0.2">
      <c r="A68">
        <v>2021</v>
      </c>
      <c r="B68" t="s">
        <v>6</v>
      </c>
      <c r="C68" vm="1096">
        <f ca="1"/>
        <v>132.69</v>
      </c>
      <c r="D68" vm="1097">
        <f ca="1"/>
        <v>125.88</v>
      </c>
      <c r="E68" vm="1098">
        <f ca="1"/>
        <v>58.48</v>
      </c>
      <c r="F68" vm="1099">
        <f ca="1"/>
        <v>1355.5038999999999</v>
      </c>
      <c r="G68" vm="1100">
        <f ca="1"/>
        <v>86.98</v>
      </c>
      <c r="H68" vm="1101">
        <f ca="1"/>
        <v>41.22</v>
      </c>
      <c r="I68" vm="1102">
        <f ca="1"/>
        <v>77.150000000000006</v>
      </c>
      <c r="J68" vm="1103">
        <f ca="1"/>
        <v>3.61</v>
      </c>
      <c r="K68" vm="1086">
        <f ca="1"/>
        <v>5.39</v>
      </c>
      <c r="L68" vm="1104">
        <f ca="1"/>
        <v>43.38</v>
      </c>
      <c r="M68" vm="1105">
        <f ca="1"/>
        <v>540.73</v>
      </c>
      <c r="N68" vm="440">
        <f ca="1"/>
        <v>0.35549999999999998</v>
      </c>
      <c r="O68" vm="1106">
        <f ca="1"/>
        <v>154.57</v>
      </c>
      <c r="P68" vm="1107">
        <f ca="1"/>
        <v>105</v>
      </c>
      <c r="Q68" vm="1108">
        <f ca="1"/>
        <v>27.15</v>
      </c>
      <c r="R68" vm="1109">
        <f ca="1"/>
        <v>3.53</v>
      </c>
      <c r="S68" vm="1110">
        <f ca="1"/>
        <v>218.73</v>
      </c>
      <c r="T68" vm="1111">
        <f ca="1"/>
        <v>14.86</v>
      </c>
    </row>
    <row r="69" spans="1:20" x14ac:dyDescent="0.2">
      <c r="B69" t="s">
        <v>7</v>
      </c>
      <c r="C69" vm="1112">
        <f ca="1"/>
        <v>131.96</v>
      </c>
      <c r="D69" vm="1113">
        <f ca="1"/>
        <v>119.11</v>
      </c>
      <c r="E69" vm="1114">
        <f ca="1"/>
        <v>61.06</v>
      </c>
      <c r="F69" vm="1115">
        <f ca="1"/>
        <v>1370.6548</v>
      </c>
      <c r="G69" vm="1116">
        <f ca="1"/>
        <v>89.75</v>
      </c>
      <c r="H69" vm="1117">
        <f ca="1"/>
        <v>44.84</v>
      </c>
      <c r="I69" vm="1118">
        <f ca="1"/>
        <v>80.87</v>
      </c>
      <c r="J69" vm="1119">
        <f ca="1"/>
        <v>4.24</v>
      </c>
      <c r="K69" vm="1120">
        <f ca="1"/>
        <v>5.9</v>
      </c>
      <c r="L69" vm="1121">
        <f ca="1"/>
        <v>72.459999999999994</v>
      </c>
      <c r="M69" vm="1122">
        <f ca="1"/>
        <v>532.39</v>
      </c>
      <c r="N69" vm="1123">
        <f ca="1"/>
        <v>0.373</v>
      </c>
      <c r="O69" vm="1124">
        <f ca="1"/>
        <v>140.52000000000001</v>
      </c>
      <c r="P69" vm="1125">
        <f ca="1"/>
        <v>112</v>
      </c>
      <c r="Q69" vm="1126">
        <f ca="1"/>
        <v>25.626000000000001</v>
      </c>
      <c r="R69" vm="1127">
        <f ca="1"/>
        <v>3.4249999999999998</v>
      </c>
      <c r="S69" vm="1128">
        <f ca="1"/>
        <v>193.25</v>
      </c>
      <c r="T69" vm="1129">
        <f ca="1"/>
        <v>15.1</v>
      </c>
    </row>
    <row r="70" spans="1:20" x14ac:dyDescent="0.2">
      <c r="B70" t="s">
        <v>8</v>
      </c>
      <c r="C70" vm="1130">
        <f ca="1"/>
        <v>121.26</v>
      </c>
      <c r="D70" vm="1131">
        <f ca="1"/>
        <v>118.93</v>
      </c>
      <c r="E70" vm="1132">
        <f ca="1"/>
        <v>58.56</v>
      </c>
      <c r="F70" vm="1133">
        <f ca="1"/>
        <v>1202.7824000000001</v>
      </c>
      <c r="G70" vm="1134">
        <f ca="1"/>
        <v>78.66</v>
      </c>
      <c r="H70" vm="1135">
        <f ca="1"/>
        <v>54.37</v>
      </c>
      <c r="I70" vm="1136">
        <f ca="1"/>
        <v>73.48</v>
      </c>
      <c r="J70" vm="1137">
        <f ca="1"/>
        <v>9.34</v>
      </c>
      <c r="K70" vm="1138">
        <f ca="1"/>
        <v>6.3</v>
      </c>
      <c r="L70" vm="1139">
        <f ca="1"/>
        <v>52.67</v>
      </c>
      <c r="M70" vm="1140">
        <f ca="1"/>
        <v>538.85</v>
      </c>
      <c r="N70" vm="1141">
        <f ca="1"/>
        <v>0.34449999999999997</v>
      </c>
      <c r="O70" vm="1142">
        <f ca="1"/>
        <v>147.93</v>
      </c>
      <c r="P70" vm="1143">
        <f ca="1"/>
        <v>123.8</v>
      </c>
      <c r="Q70" vm="1144">
        <f ca="1"/>
        <v>27.3</v>
      </c>
      <c r="R70" vm="1145">
        <f ca="1"/>
        <v>4</v>
      </c>
      <c r="S70" vm="1146">
        <f ca="1"/>
        <v>212.39</v>
      </c>
      <c r="T70" vm="1147">
        <f ca="1"/>
        <v>16.61</v>
      </c>
    </row>
    <row r="71" spans="1:20" x14ac:dyDescent="0.2">
      <c r="B71" t="s">
        <v>9</v>
      </c>
      <c r="C71" vm="1148">
        <f ca="1"/>
        <v>122.15</v>
      </c>
      <c r="D71" vm="1149">
        <f ca="1"/>
        <v>133.26</v>
      </c>
      <c r="E71" vm="1150">
        <f ca="1"/>
        <v>60.91</v>
      </c>
      <c r="F71" vm="1151">
        <f ca="1"/>
        <v>1300.9604999999999</v>
      </c>
      <c r="G71" vm="1152">
        <f ca="1"/>
        <v>81.27</v>
      </c>
      <c r="H71" vm="1153">
        <f ca="1"/>
        <v>55.83</v>
      </c>
      <c r="I71" vm="1154">
        <f ca="1"/>
        <v>75.61</v>
      </c>
      <c r="J71" vm="1155">
        <f ca="1"/>
        <v>8.4600000000000009</v>
      </c>
      <c r="K71" vm="1156">
        <f ca="1"/>
        <v>5.94</v>
      </c>
      <c r="L71" vm="1157">
        <f ca="1"/>
        <v>41.3</v>
      </c>
      <c r="M71" vm="1158">
        <f ca="1"/>
        <v>521.66</v>
      </c>
      <c r="N71" vm="1159">
        <f ca="1"/>
        <v>0.81599999999999995</v>
      </c>
      <c r="O71" vm="1160">
        <f ca="1"/>
        <v>156.06</v>
      </c>
      <c r="P71" vm="1161">
        <f ca="1"/>
        <v>125.8</v>
      </c>
      <c r="Q71" vm="119">
        <f ca="1"/>
        <v>28.3</v>
      </c>
      <c r="R71" vm="1162">
        <f ca="1"/>
        <v>4.04</v>
      </c>
      <c r="S71" vm="1163">
        <f ca="1"/>
        <v>211.73</v>
      </c>
      <c r="T71" vm="1164">
        <f ca="1"/>
        <v>16.03</v>
      </c>
    </row>
    <row r="72" spans="1:20" x14ac:dyDescent="0.2">
      <c r="B72" t="s">
        <v>10</v>
      </c>
      <c r="C72" vm="1165">
        <f ca="1"/>
        <v>131.46</v>
      </c>
      <c r="D72" vm="1166">
        <f ca="1"/>
        <v>141.88</v>
      </c>
      <c r="E72" vm="1167">
        <f ca="1"/>
        <v>64.06</v>
      </c>
      <c r="F72" vm="1168">
        <f ca="1"/>
        <v>1353.0797</v>
      </c>
      <c r="G72" vm="1169">
        <f ca="1"/>
        <v>85.38</v>
      </c>
      <c r="H72" vm="1170">
        <f ca="1"/>
        <v>57.24</v>
      </c>
      <c r="I72" vm="1171">
        <f ca="1"/>
        <v>77.510000000000005</v>
      </c>
      <c r="J72" vm="1172">
        <f ca="1"/>
        <v>6.28</v>
      </c>
      <c r="K72" vm="1173">
        <f ca="1"/>
        <v>5.87</v>
      </c>
      <c r="L72" vm="1174">
        <f ca="1"/>
        <v>36.659999999999997</v>
      </c>
      <c r="M72" vm="1175">
        <f ca="1"/>
        <v>513.47</v>
      </c>
      <c r="N72" vm="1176">
        <f ca="1"/>
        <v>0.64</v>
      </c>
      <c r="O72" vm="1177">
        <f ca="1"/>
        <v>150.77000000000001</v>
      </c>
      <c r="P72" vm="1178">
        <f ca="1"/>
        <v>125</v>
      </c>
      <c r="Q72" vm="1179">
        <f ca="1"/>
        <v>28.15</v>
      </c>
      <c r="R72" vm="1180">
        <f ca="1"/>
        <v>4.03</v>
      </c>
      <c r="S72" vm="1181">
        <f ca="1"/>
        <v>233.56</v>
      </c>
      <c r="T72" vm="1182">
        <f ca="1"/>
        <v>16.3</v>
      </c>
    </row>
    <row r="73" spans="1:20" x14ac:dyDescent="0.2">
      <c r="B73" t="s">
        <v>11</v>
      </c>
      <c r="C73" vm="1183">
        <f ca="1"/>
        <v>124.61</v>
      </c>
      <c r="D73" vm="1184">
        <f ca="1"/>
        <v>143.74</v>
      </c>
      <c r="E73" vm="1185">
        <f ca="1"/>
        <v>58.44</v>
      </c>
      <c r="F73" vm="1186">
        <f ca="1"/>
        <v>1357.7260000000001</v>
      </c>
      <c r="G73" vm="1187">
        <f ca="1"/>
        <v>83.78</v>
      </c>
      <c r="H73" vm="1188">
        <f ca="1"/>
        <v>58.37</v>
      </c>
      <c r="I73" vm="1189">
        <f ca="1"/>
        <v>73.22</v>
      </c>
      <c r="J73" vm="1190">
        <f ca="1"/>
        <v>6.59</v>
      </c>
      <c r="K73" vm="1191">
        <f ca="1"/>
        <v>6.5</v>
      </c>
      <c r="L73" vm="1192">
        <f ca="1"/>
        <v>29.22</v>
      </c>
      <c r="M73" vm="1193">
        <f ca="1"/>
        <v>502.81</v>
      </c>
      <c r="N73" vm="1194">
        <f ca="1"/>
        <v>0.56000000000000005</v>
      </c>
      <c r="O73" vm="1195">
        <f ca="1"/>
        <v>165.98</v>
      </c>
      <c r="P73" vm="1196">
        <f ca="1"/>
        <v>118.2</v>
      </c>
      <c r="Q73" vm="1197">
        <f ca="1"/>
        <v>29.9</v>
      </c>
      <c r="R73" vm="1198">
        <f ca="1"/>
        <v>4.32</v>
      </c>
      <c r="S73" vm="1199">
        <f ca="1"/>
        <v>227.3</v>
      </c>
      <c r="T73" vm="1200">
        <f ca="1"/>
        <v>18.010000000000002</v>
      </c>
    </row>
    <row r="74" spans="1:20" x14ac:dyDescent="0.2">
      <c r="B74" t="s">
        <v>12</v>
      </c>
      <c r="C74" vm="1201">
        <f ca="1"/>
        <v>136.96</v>
      </c>
      <c r="D74" vm="1202">
        <f ca="1"/>
        <v>146.59</v>
      </c>
      <c r="E74" vm="1203">
        <f ca="1"/>
        <v>69.16</v>
      </c>
      <c r="F74" vm="1204">
        <f ca="1"/>
        <v>1433.6827000000001</v>
      </c>
      <c r="G74" vm="1205">
        <f ca="1"/>
        <v>84.13</v>
      </c>
      <c r="H74" vm="1206">
        <f ca="1"/>
        <v>63.08</v>
      </c>
      <c r="I74" vm="713">
        <f ca="1"/>
        <v>73.28</v>
      </c>
      <c r="J74" vm="1207">
        <f ca="1"/>
        <v>6.48</v>
      </c>
      <c r="K74" vm="1208">
        <f ca="1"/>
        <v>5.88</v>
      </c>
      <c r="L74" vm="1209">
        <f ca="1"/>
        <v>33.840000000000003</v>
      </c>
      <c r="M74" vm="1210">
        <f ca="1"/>
        <v>528.21</v>
      </c>
      <c r="N74" vm="1211">
        <f ca="1"/>
        <v>0.5</v>
      </c>
      <c r="O74" vm="1212">
        <f ca="1"/>
        <v>174.84</v>
      </c>
      <c r="P74" vm="1213">
        <f ca="1"/>
        <v>137.80000000000001</v>
      </c>
      <c r="Q74" vm="1214">
        <f ca="1"/>
        <v>29.27</v>
      </c>
      <c r="R74" vm="1145">
        <f ca="1"/>
        <v>4</v>
      </c>
      <c r="S74" vm="1215">
        <f ca="1"/>
        <v>233.82</v>
      </c>
      <c r="T74" vm="1216">
        <f ca="1"/>
        <v>17.100000000000001</v>
      </c>
    </row>
    <row r="75" spans="1:20" x14ac:dyDescent="0.2">
      <c r="B75" t="s">
        <v>13</v>
      </c>
      <c r="C75" vm="1217">
        <f ca="1"/>
        <v>145.86000000000001</v>
      </c>
      <c r="D75" vm="1218">
        <f ca="1"/>
        <v>140.96</v>
      </c>
      <c r="E75" vm="1219">
        <f ca="1"/>
        <v>72.66</v>
      </c>
      <c r="F75" vm="1220">
        <f ca="1"/>
        <v>1432.0666000000001</v>
      </c>
      <c r="G75" vm="1221">
        <f ca="1"/>
        <v>77.349999999999994</v>
      </c>
      <c r="H75" vm="1222">
        <f ca="1"/>
        <v>57.57</v>
      </c>
      <c r="I75" vm="1223">
        <f ca="1"/>
        <v>77.900000000000006</v>
      </c>
      <c r="J75" vm="1224">
        <f ca="1"/>
        <v>4.5999999999999996</v>
      </c>
      <c r="K75" vm="1120">
        <f ca="1"/>
        <v>5.9</v>
      </c>
      <c r="L75" vm="1225">
        <f ca="1"/>
        <v>31.31</v>
      </c>
      <c r="M75" vm="1226">
        <f ca="1"/>
        <v>517.57000000000005</v>
      </c>
      <c r="N75" vm="1227">
        <f ca="1"/>
        <v>0.36449999999999999</v>
      </c>
      <c r="O75" vm="1228">
        <f ca="1"/>
        <v>179.84</v>
      </c>
      <c r="P75" vm="1229">
        <f ca="1"/>
        <v>128.6</v>
      </c>
      <c r="Q75" vm="1230">
        <f ca="1"/>
        <v>32.32</v>
      </c>
      <c r="R75" vm="1231">
        <f ca="1"/>
        <v>3.8929999999999998</v>
      </c>
      <c r="S75" vm="1232">
        <f ca="1"/>
        <v>246.39</v>
      </c>
      <c r="T75" vm="1233">
        <f ca="1"/>
        <v>18.59</v>
      </c>
    </row>
    <row r="76" spans="1:20" x14ac:dyDescent="0.2">
      <c r="B76" t="s">
        <v>14</v>
      </c>
      <c r="C76" vm="1234">
        <f ca="1"/>
        <v>151.83000000000001</v>
      </c>
      <c r="D76" vm="1235">
        <f ca="1"/>
        <v>140.34</v>
      </c>
      <c r="E76" vm="1236">
        <f ca="1"/>
        <v>78.400000000000006</v>
      </c>
      <c r="F76" vm="1237">
        <f ca="1"/>
        <v>1476.7113999999999</v>
      </c>
      <c r="G76" vm="1238">
        <f ca="1"/>
        <v>76.489999999999995</v>
      </c>
      <c r="H76" vm="1239">
        <f ca="1"/>
        <v>54.52</v>
      </c>
      <c r="I76" vm="1240">
        <f ca="1"/>
        <v>83.99</v>
      </c>
      <c r="J76" vm="1241">
        <f ca="1"/>
        <v>5.27</v>
      </c>
      <c r="K76" vm="1242">
        <f ca="1"/>
        <v>5.8</v>
      </c>
      <c r="L76" vm="1243">
        <f ca="1"/>
        <v>54.81</v>
      </c>
      <c r="M76" vm="1244">
        <f ca="1"/>
        <v>569.19000000000005</v>
      </c>
      <c r="N76" vm="1245">
        <f ca="1"/>
        <v>0.442</v>
      </c>
      <c r="O76" vm="1246">
        <f ca="1"/>
        <v>174.23</v>
      </c>
      <c r="P76" vm="1247">
        <f ca="1"/>
        <v>112.4</v>
      </c>
      <c r="Q76" vm="1248">
        <f ca="1"/>
        <v>31.58</v>
      </c>
      <c r="R76" vm="1249">
        <f ca="1"/>
        <v>4.01</v>
      </c>
      <c r="S76" vm="1250">
        <f ca="1"/>
        <v>229.1</v>
      </c>
      <c r="T76" vm="1251">
        <f ca="1"/>
        <v>19.62</v>
      </c>
    </row>
    <row r="77" spans="1:20" x14ac:dyDescent="0.2">
      <c r="B77" t="s">
        <v>3</v>
      </c>
      <c r="C77" vm="1252">
        <f ca="1"/>
        <v>141.5</v>
      </c>
      <c r="D77" vm="1253">
        <f ca="1"/>
        <v>138.93</v>
      </c>
      <c r="E77" vm="1254">
        <f ca="1"/>
        <v>81.260000000000005</v>
      </c>
      <c r="F77" vm="1255">
        <f ca="1"/>
        <v>1417.7237</v>
      </c>
      <c r="G77" vm="1256">
        <f ca="1"/>
        <v>68.78</v>
      </c>
      <c r="H77" vm="1257">
        <f ca="1"/>
        <v>58.82</v>
      </c>
      <c r="I77" vm="1258">
        <f ca="1"/>
        <v>78.52</v>
      </c>
      <c r="J77" vm="1259">
        <f ca="1"/>
        <v>5.12</v>
      </c>
      <c r="K77" vm="1260">
        <f ca="1"/>
        <v>5.95</v>
      </c>
      <c r="L77" vm="1261">
        <f ca="1"/>
        <v>47.78</v>
      </c>
      <c r="M77" vm="1262">
        <f ca="1"/>
        <v>610.34</v>
      </c>
      <c r="N77" vm="1263">
        <f ca="1"/>
        <v>0.3805</v>
      </c>
      <c r="O77" vm="1264">
        <f ca="1"/>
        <v>177.75</v>
      </c>
      <c r="P77" vm="1265">
        <f ca="1"/>
        <v>106.4</v>
      </c>
      <c r="Q77" vm="1266">
        <f ca="1"/>
        <v>30.57</v>
      </c>
      <c r="R77" vm="1267">
        <f ca="1"/>
        <v>4.05</v>
      </c>
      <c r="S77" vm="1268">
        <f ca="1"/>
        <v>222.75</v>
      </c>
      <c r="T77" vm="1269">
        <f ca="1"/>
        <v>18.87</v>
      </c>
    </row>
    <row r="78" spans="1:20" x14ac:dyDescent="0.2">
      <c r="B78" t="s">
        <v>4</v>
      </c>
      <c r="C78" vm="1270">
        <f ca="1"/>
        <v>149.80000000000001</v>
      </c>
      <c r="D78" vm="1271">
        <f ca="1"/>
        <v>125.1</v>
      </c>
      <c r="E78" vm="1272">
        <f ca="1"/>
        <v>81.77</v>
      </c>
      <c r="F78" vm="1273">
        <f ca="1"/>
        <v>1523.7802999999999</v>
      </c>
      <c r="G78" vm="1274">
        <f ca="1"/>
        <v>66.98</v>
      </c>
      <c r="H78" vm="1275">
        <f ca="1"/>
        <v>64.47</v>
      </c>
      <c r="I78" vm="1276">
        <f ca="1"/>
        <v>85.33</v>
      </c>
      <c r="J78" vm="1277">
        <f ca="1"/>
        <v>4.53</v>
      </c>
      <c r="K78" vm="1278">
        <f ca="1"/>
        <v>6.05</v>
      </c>
      <c r="L78" vm="1279">
        <f ca="1"/>
        <v>44.95</v>
      </c>
      <c r="M78" vm="1280">
        <f ca="1"/>
        <v>690.31</v>
      </c>
      <c r="N78" vm="868">
        <f ca="1"/>
        <v>0.317</v>
      </c>
      <c r="O78" vm="1281">
        <f ca="1"/>
        <v>176.57</v>
      </c>
      <c r="P78" vm="1282">
        <f ca="1"/>
        <v>122</v>
      </c>
      <c r="Q78" vm="1283">
        <f ca="1"/>
        <v>30.66</v>
      </c>
      <c r="R78" vm="1284">
        <f ca="1"/>
        <v>3.625</v>
      </c>
      <c r="S78" vm="1285">
        <f ca="1"/>
        <v>211.77</v>
      </c>
      <c r="T78" vm="1286">
        <f ca="1"/>
        <v>21.15</v>
      </c>
    </row>
    <row r="79" spans="1:20" x14ac:dyDescent="0.2">
      <c r="B79" t="s">
        <v>5</v>
      </c>
      <c r="C79" vm="1287">
        <f ca="1"/>
        <v>165.3</v>
      </c>
      <c r="D79" vm="1288">
        <f ca="1"/>
        <v>117.1</v>
      </c>
      <c r="E79" vm="1289">
        <f ca="1"/>
        <v>80.36</v>
      </c>
      <c r="F79" vm="1290">
        <f ca="1"/>
        <v>1540.3453</v>
      </c>
      <c r="G79" vm="1291">
        <f ca="1"/>
        <v>67.72</v>
      </c>
      <c r="H79" vm="1292">
        <f ca="1"/>
        <v>59.84</v>
      </c>
      <c r="I79" vm="1293">
        <f ca="1"/>
        <v>86.78</v>
      </c>
      <c r="J79" vm="1294">
        <f ca="1"/>
        <v>4.17</v>
      </c>
      <c r="K79" vm="1295">
        <f ca="1"/>
        <v>6.01</v>
      </c>
      <c r="L79" vm="1296">
        <f ca="1"/>
        <v>39.75</v>
      </c>
      <c r="M79" vm="1297">
        <f ca="1"/>
        <v>641.9</v>
      </c>
      <c r="N79" vm="1298">
        <f ca="1"/>
        <v>0.41</v>
      </c>
      <c r="O79" vm="1299">
        <f ca="1"/>
        <v>177.85</v>
      </c>
      <c r="P79" vm="1300">
        <f ca="1"/>
        <v>123.4</v>
      </c>
      <c r="Q79" vm="1301">
        <f ca="1"/>
        <v>29.43</v>
      </c>
      <c r="R79" vm="1302">
        <f ca="1"/>
        <v>3.355</v>
      </c>
      <c r="S79" vm="1303">
        <f ca="1"/>
        <v>193.77</v>
      </c>
      <c r="T79" vm="1304">
        <f ca="1"/>
        <v>18.46</v>
      </c>
    </row>
    <row r="80" spans="1:20" x14ac:dyDescent="0.2">
      <c r="A80">
        <v>2022</v>
      </c>
      <c r="B80" t="s">
        <v>6</v>
      </c>
      <c r="C80" vm="1305">
        <f ca="1"/>
        <v>177.57</v>
      </c>
      <c r="D80" vm="1306">
        <f ca="1"/>
        <v>133.66</v>
      </c>
      <c r="E80" vm="1307">
        <f ca="1"/>
        <v>82.68</v>
      </c>
      <c r="F80" vm="1308">
        <f ca="1"/>
        <v>1622.7664</v>
      </c>
      <c r="G80" vm="1309">
        <f ca="1"/>
        <v>73.400000000000006</v>
      </c>
      <c r="H80" vm="1310">
        <f ca="1"/>
        <v>61.19</v>
      </c>
      <c r="I80" vm="1311">
        <f ca="1"/>
        <v>93.36</v>
      </c>
      <c r="J80" vm="1312">
        <f ca="1"/>
        <v>3.33</v>
      </c>
      <c r="K80" vm="680">
        <f ca="1"/>
        <v>6</v>
      </c>
      <c r="L80" vm="1313">
        <f ca="1"/>
        <v>37.01</v>
      </c>
      <c r="M80" vm="1314">
        <f ca="1"/>
        <v>602.44000000000005</v>
      </c>
      <c r="N80" vm="1315">
        <f ca="1"/>
        <v>0.3785</v>
      </c>
      <c r="O80" vm="1316">
        <f ca="1"/>
        <v>185.3</v>
      </c>
      <c r="P80" vm="1317">
        <f ca="1"/>
        <v>116.8</v>
      </c>
      <c r="Q80" vm="1318">
        <f ca="1"/>
        <v>29.785</v>
      </c>
      <c r="R80" vm="1319">
        <f ca="1"/>
        <v>3.5449999999999999</v>
      </c>
      <c r="S80" vm="1320">
        <f ca="1"/>
        <v>216.71</v>
      </c>
      <c r="T80" vm="1321">
        <f ca="1"/>
        <v>19.79</v>
      </c>
    </row>
    <row r="81" spans="1:20" x14ac:dyDescent="0.2">
      <c r="B81" t="s">
        <v>7</v>
      </c>
      <c r="C81" vm="1322">
        <f ca="1"/>
        <v>174.78</v>
      </c>
      <c r="D81" vm="1323">
        <f ca="1"/>
        <v>133.57</v>
      </c>
      <c r="E81" vm="1324">
        <f ca="1"/>
        <v>72.77</v>
      </c>
      <c r="F81" vm="226">
        <f ca="1"/>
        <v>1659.5327</v>
      </c>
      <c r="G81" vm="1325">
        <f ca="1"/>
        <v>74.33</v>
      </c>
      <c r="H81" vm="1326">
        <f ca="1"/>
        <v>75.959999999999994</v>
      </c>
      <c r="I81" vm="1327">
        <f ca="1"/>
        <v>78.12</v>
      </c>
      <c r="J81" vm="1328">
        <f ca="1"/>
        <v>3.48</v>
      </c>
      <c r="K81" vm="1329">
        <f ca="1"/>
        <v>6.09</v>
      </c>
      <c r="L81" vm="1330">
        <f ca="1"/>
        <v>26.13</v>
      </c>
      <c r="M81" vm="1331">
        <f ca="1"/>
        <v>427.14</v>
      </c>
      <c r="N81" vm="1332">
        <f ca="1"/>
        <v>0.3145</v>
      </c>
      <c r="O81" vm="1333">
        <f ca="1"/>
        <v>198.45</v>
      </c>
      <c r="P81" vm="1334">
        <f ca="1"/>
        <v>108.2</v>
      </c>
      <c r="Q81" vm="1248">
        <f ca="1"/>
        <v>31.58</v>
      </c>
      <c r="R81" vm="1335">
        <f ca="1"/>
        <v>3.5750000000000002</v>
      </c>
      <c r="S81" vm="1336">
        <f ca="1"/>
        <v>226.17</v>
      </c>
      <c r="T81" vm="1337">
        <f ca="1"/>
        <v>21.73</v>
      </c>
    </row>
    <row r="82" spans="1:20" x14ac:dyDescent="0.2">
      <c r="B82" t="s">
        <v>8</v>
      </c>
      <c r="C82" vm="1338">
        <f ca="1"/>
        <v>165.12</v>
      </c>
      <c r="D82" vm="1339">
        <f ca="1"/>
        <v>122.51</v>
      </c>
      <c r="E82" vm="1340">
        <f ca="1"/>
        <v>71.260000000000005</v>
      </c>
      <c r="F82" vm="1341">
        <f ca="1"/>
        <v>1560.9505999999999</v>
      </c>
      <c r="G82" vm="1342">
        <f ca="1"/>
        <v>68.3</v>
      </c>
      <c r="H82" vm="1343">
        <f ca="1"/>
        <v>78.42</v>
      </c>
      <c r="I82" vm="1344">
        <f ca="1"/>
        <v>78.27</v>
      </c>
      <c r="J82" vm="1345">
        <f ca="1"/>
        <v>2.62</v>
      </c>
      <c r="K82" vm="1346">
        <f ca="1"/>
        <v>6.11</v>
      </c>
      <c r="L82" vm="1347">
        <f ca="1"/>
        <v>23.97</v>
      </c>
      <c r="M82" vm="1348">
        <f ca="1"/>
        <v>394.52</v>
      </c>
      <c r="N82" vm="1349">
        <f ca="1"/>
        <v>0.23400000000000001</v>
      </c>
      <c r="O82" vm="1350">
        <f ca="1"/>
        <v>182.95</v>
      </c>
      <c r="P82" vm="1351">
        <f ca="1"/>
        <v>96.8</v>
      </c>
      <c r="Q82" vm="1352">
        <f ca="1"/>
        <v>38.81</v>
      </c>
      <c r="R82" vm="1353">
        <f ca="1"/>
        <v>4.41</v>
      </c>
      <c r="S82" vm="1354">
        <f ca="1"/>
        <v>216.12</v>
      </c>
      <c r="T82" vm="1355">
        <f ca="1"/>
        <v>19.47</v>
      </c>
    </row>
    <row r="83" spans="1:20" x14ac:dyDescent="0.2">
      <c r="B83" t="s">
        <v>9</v>
      </c>
      <c r="C83" vm="1356">
        <f ca="1"/>
        <v>174.61</v>
      </c>
      <c r="D83" vm="1357">
        <f ca="1"/>
        <v>130.02000000000001</v>
      </c>
      <c r="E83" vm="1358">
        <f ca="1"/>
        <v>73.260000000000005</v>
      </c>
      <c r="F83" vm="1359">
        <f ca="1"/>
        <v>1663.7750000000001</v>
      </c>
      <c r="G83" vm="1360">
        <f ca="1"/>
        <v>79.42</v>
      </c>
      <c r="H83" vm="1361">
        <f ca="1"/>
        <v>82.59</v>
      </c>
      <c r="I83" vm="1362">
        <f ca="1"/>
        <v>84.71</v>
      </c>
      <c r="J83" vm="1363">
        <f ca="1"/>
        <v>3.13</v>
      </c>
      <c r="K83" vm="1364">
        <f ca="1"/>
        <v>6.24</v>
      </c>
      <c r="L83" vm="1365">
        <f ca="1"/>
        <v>26.96</v>
      </c>
      <c r="M83" vm="1366">
        <f ca="1"/>
        <v>374.59</v>
      </c>
      <c r="N83" vm="1367">
        <f ca="1"/>
        <v>0.17899999999999999</v>
      </c>
      <c r="O83" vm="1368">
        <f ca="1"/>
        <v>180.25</v>
      </c>
      <c r="P83" vm="1369">
        <f ca="1"/>
        <v>102.4</v>
      </c>
      <c r="Q83" vm="1370">
        <f ca="1"/>
        <v>37.67</v>
      </c>
      <c r="R83" vm="1371">
        <f ca="1"/>
        <v>5.12</v>
      </c>
      <c r="S83" vm="1372">
        <f ca="1"/>
        <v>221.77</v>
      </c>
      <c r="T83" vm="1373">
        <f ca="1"/>
        <v>18.940000000000001</v>
      </c>
    </row>
    <row r="84" spans="1:20" x14ac:dyDescent="0.2">
      <c r="B84" t="s">
        <v>10</v>
      </c>
      <c r="C84" vm="1374">
        <f ca="1"/>
        <v>157.65</v>
      </c>
      <c r="D84" vm="1375">
        <f ca="1"/>
        <v>132.21</v>
      </c>
      <c r="E84" vm="1376">
        <f ca="1"/>
        <v>62.15</v>
      </c>
      <c r="F84" vm="1377">
        <f ca="1"/>
        <v>1815.0823</v>
      </c>
      <c r="G84" vm="1378">
        <f ca="1"/>
        <v>74.959999999999994</v>
      </c>
      <c r="H84" vm="1379">
        <f ca="1"/>
        <v>85.25</v>
      </c>
      <c r="I84" vm="1380">
        <f ca="1"/>
        <v>71.02</v>
      </c>
      <c r="J84" vm="1381">
        <f ca="1"/>
        <v>2.91</v>
      </c>
      <c r="K84" vm="1382">
        <f ca="1"/>
        <v>6.32</v>
      </c>
      <c r="L84" vm="1383">
        <f ca="1"/>
        <v>19.38</v>
      </c>
      <c r="M84" vm="1384">
        <f ca="1"/>
        <v>190.36</v>
      </c>
      <c r="N84" vm="1385">
        <f ca="1"/>
        <v>0.1696</v>
      </c>
      <c r="O84" vm="1386">
        <f ca="1"/>
        <v>171</v>
      </c>
      <c r="P84" vm="1387">
        <f ca="1"/>
        <v>95</v>
      </c>
      <c r="Q84" vm="1388">
        <f ca="1"/>
        <v>37.090000000000003</v>
      </c>
      <c r="R84" vm="1389">
        <f ca="1"/>
        <v>5.0999999999999996</v>
      </c>
      <c r="S84" vm="1390">
        <f ca="1"/>
        <v>213.13</v>
      </c>
      <c r="T84" vm="1391">
        <f ca="1"/>
        <v>19.04</v>
      </c>
    </row>
    <row r="85" spans="1:20" x14ac:dyDescent="0.2">
      <c r="B85" t="s">
        <v>11</v>
      </c>
      <c r="C85" vm="1392">
        <f ca="1"/>
        <v>148.84</v>
      </c>
      <c r="D85" vm="919">
        <f ca="1"/>
        <v>138.84</v>
      </c>
      <c r="E85" vm="1393">
        <f ca="1"/>
        <v>59.35</v>
      </c>
      <c r="F85" vm="1394">
        <f ca="1"/>
        <v>1750.0343</v>
      </c>
      <c r="G85" vm="1395">
        <f ca="1"/>
        <v>75.89</v>
      </c>
      <c r="H85" vm="1396">
        <f ca="1"/>
        <v>96</v>
      </c>
      <c r="I85" vm="1397">
        <f ca="1"/>
        <v>75.69</v>
      </c>
      <c r="J85" vm="1398">
        <f ca="1"/>
        <v>3.35</v>
      </c>
      <c r="K85" vm="1399">
        <f ca="1"/>
        <v>6.18</v>
      </c>
      <c r="L85" vm="1400">
        <f ca="1"/>
        <v>19.88</v>
      </c>
      <c r="M85" vm="1401">
        <f ca="1"/>
        <v>197.44</v>
      </c>
      <c r="N85" vm="1402">
        <f ca="1"/>
        <v>0.16400000000000001</v>
      </c>
      <c r="O85" vm="1403">
        <f ca="1"/>
        <v>166.37</v>
      </c>
      <c r="P85" vm="1404">
        <f ca="1"/>
        <v>93.5</v>
      </c>
      <c r="Q85" vm="1405">
        <f ca="1"/>
        <v>38.15</v>
      </c>
      <c r="R85" vm="1406">
        <f ca="1"/>
        <v>5.26</v>
      </c>
      <c r="S85" vm="1407">
        <f ca="1"/>
        <v>212.17</v>
      </c>
      <c r="T85" vm="1408">
        <f ca="1"/>
        <v>19.25</v>
      </c>
    </row>
    <row r="86" spans="1:20" x14ac:dyDescent="0.2">
      <c r="B86" t="s">
        <v>12</v>
      </c>
      <c r="C86" vm="1409">
        <f ca="1"/>
        <v>136.72</v>
      </c>
      <c r="D86" vm="1410">
        <f ca="1"/>
        <v>141.19</v>
      </c>
      <c r="E86" vm="1411">
        <f ca="1"/>
        <v>62.06</v>
      </c>
      <c r="F86" vm="1412">
        <f ca="1"/>
        <v>1783.3664000000001</v>
      </c>
      <c r="G86" vm="1413">
        <f ca="1"/>
        <v>75.97</v>
      </c>
      <c r="H86" vm="1414">
        <f ca="1"/>
        <v>85.64</v>
      </c>
      <c r="I86" vm="1415">
        <f ca="1"/>
        <v>77.459999999999994</v>
      </c>
      <c r="J86" vm="1416">
        <f ca="1"/>
        <v>2.4900000000000002</v>
      </c>
      <c r="K86" vm="1417">
        <f ca="1"/>
        <v>5.91</v>
      </c>
      <c r="L86" vm="1418">
        <f ca="1"/>
        <v>15.74</v>
      </c>
      <c r="M86" vm="1419">
        <f ca="1"/>
        <v>174.87</v>
      </c>
      <c r="N86" vm="1420">
        <f ca="1"/>
        <v>0.1416</v>
      </c>
      <c r="O86" vm="1421">
        <f ca="1"/>
        <v>154.16999999999999</v>
      </c>
      <c r="P86" vm="1422">
        <f ca="1"/>
        <v>98.5</v>
      </c>
      <c r="Q86" vm="1423">
        <f ca="1"/>
        <v>40.6</v>
      </c>
      <c r="R86" vm="1389">
        <f ca="1"/>
        <v>5.0999999999999996</v>
      </c>
      <c r="S86" vm="1424">
        <f ca="1"/>
        <v>196.89</v>
      </c>
      <c r="T86" vm="1425">
        <f ca="1"/>
        <v>17.739999999999998</v>
      </c>
    </row>
    <row r="87" spans="1:20" x14ac:dyDescent="0.2">
      <c r="B87" t="s">
        <v>13</v>
      </c>
      <c r="C87" vm="1426">
        <f ca="1"/>
        <v>162.51</v>
      </c>
      <c r="D87" vm="1427">
        <f ca="1"/>
        <v>130.79</v>
      </c>
      <c r="E87" vm="1428">
        <f ca="1"/>
        <v>69.040000000000006</v>
      </c>
      <c r="F87" vm="1429">
        <f ca="1"/>
        <v>1727.6</v>
      </c>
      <c r="G87" vm="1430">
        <f ca="1"/>
        <v>77.680000000000007</v>
      </c>
      <c r="H87" vm="1431">
        <f ca="1"/>
        <v>96.93</v>
      </c>
      <c r="I87" vm="1432">
        <f ca="1"/>
        <v>84.49</v>
      </c>
      <c r="J87" vm="1433">
        <f ca="1"/>
        <v>1.92</v>
      </c>
      <c r="K87" vm="1242">
        <f ca="1"/>
        <v>5.8</v>
      </c>
      <c r="L87" vm="1434">
        <f ca="1"/>
        <v>17.55</v>
      </c>
      <c r="M87" vm="1435">
        <f ca="1"/>
        <v>224.9</v>
      </c>
      <c r="N87" vm="1436">
        <f ca="1"/>
        <v>0.1331</v>
      </c>
      <c r="O87" vm="1437">
        <f ca="1"/>
        <v>162.59</v>
      </c>
      <c r="P87" vm="1438">
        <f ca="1"/>
        <v>99.4</v>
      </c>
      <c r="Q87" vm="1439">
        <f ca="1"/>
        <v>37.669899999999998</v>
      </c>
      <c r="R87" vm="1440">
        <f ca="1"/>
        <v>4.7045000000000003</v>
      </c>
      <c r="S87" vm="1441">
        <f ca="1"/>
        <v>212.11</v>
      </c>
      <c r="T87" vm="1442">
        <f ca="1"/>
        <v>20.78</v>
      </c>
    </row>
    <row r="88" spans="1:20" x14ac:dyDescent="0.2">
      <c r="B88" t="s">
        <v>14</v>
      </c>
      <c r="C88" vm="1443">
        <f ca="1"/>
        <v>157.22</v>
      </c>
      <c r="D88" vm="1444">
        <f ca="1"/>
        <v>128.44999999999999</v>
      </c>
      <c r="E88" vm="1445">
        <f ca="1"/>
        <v>70.400000000000006</v>
      </c>
      <c r="F88" vm="1446">
        <f ca="1"/>
        <v>1379.4</v>
      </c>
      <c r="G88" vm="1447">
        <f ca="1"/>
        <v>70.430000000000007</v>
      </c>
      <c r="H88" vm="1448">
        <f ca="1"/>
        <v>95.59</v>
      </c>
      <c r="I88" vm="1449">
        <f ca="1"/>
        <v>85.06</v>
      </c>
      <c r="J88" vm="1450">
        <f ca="1"/>
        <v>1.86</v>
      </c>
      <c r="K88" vm="680">
        <f ca="1"/>
        <v>6</v>
      </c>
      <c r="L88" vm="1451">
        <f ca="1"/>
        <v>14.04</v>
      </c>
      <c r="M88" vm="1452">
        <f ca="1"/>
        <v>223.56</v>
      </c>
      <c r="N88" vm="1453">
        <f ca="1"/>
        <v>0.127</v>
      </c>
      <c r="O88" vm="1454">
        <f ca="1"/>
        <v>149.37</v>
      </c>
      <c r="P88" vm="1455">
        <f ca="1"/>
        <v>104.2</v>
      </c>
      <c r="Q88" vm="1456">
        <f ca="1"/>
        <v>36.1</v>
      </c>
      <c r="R88" vm="1457">
        <f ca="1"/>
        <v>4.12</v>
      </c>
      <c r="S88" vm="1458">
        <f ca="1"/>
        <v>198.71</v>
      </c>
      <c r="T88" vm="1459">
        <f ca="1"/>
        <v>21.84</v>
      </c>
    </row>
    <row r="89" spans="1:20" x14ac:dyDescent="0.2">
      <c r="B89" t="s">
        <v>3</v>
      </c>
      <c r="C89" vm="1460">
        <f ca="1"/>
        <v>138.19999999999999</v>
      </c>
      <c r="D89" vm="1461">
        <f ca="1"/>
        <v>118.81</v>
      </c>
      <c r="E89" vm="1462">
        <f ca="1"/>
        <v>63.53</v>
      </c>
      <c r="F89" vm="1463">
        <f ca="1"/>
        <v>1305.8</v>
      </c>
      <c r="G89" vm="1464">
        <f ca="1"/>
        <v>66.64</v>
      </c>
      <c r="H89" vm="1465">
        <f ca="1"/>
        <v>87.31</v>
      </c>
      <c r="I89" vm="1466">
        <f ca="1"/>
        <v>78.41</v>
      </c>
      <c r="J89" vm="1467">
        <f ca="1"/>
        <v>1.71</v>
      </c>
      <c r="K89" vm="1468">
        <f ca="1"/>
        <v>5.4</v>
      </c>
      <c r="L89" vm="1469">
        <f ca="1"/>
        <v>14.82</v>
      </c>
      <c r="M89" vm="1470">
        <f ca="1"/>
        <v>235.44</v>
      </c>
      <c r="N89" vm="1471">
        <f ca="1"/>
        <v>0.19</v>
      </c>
      <c r="O89" vm="1472">
        <f ca="1"/>
        <v>130.29</v>
      </c>
      <c r="P89" vm="1473">
        <f ca="1"/>
        <v>108.8</v>
      </c>
      <c r="Q89" vm="1474">
        <f ca="1"/>
        <v>35.24</v>
      </c>
      <c r="R89" vm="1475">
        <f ca="1"/>
        <v>3.55</v>
      </c>
      <c r="S89" vm="1476">
        <f ca="1"/>
        <v>177.65</v>
      </c>
      <c r="T89" vm="1477">
        <f ca="1"/>
        <v>20.97</v>
      </c>
    </row>
    <row r="90" spans="1:20" x14ac:dyDescent="0.2">
      <c r="B90" t="s">
        <v>4</v>
      </c>
      <c r="C90" vm="1478">
        <f ca="1"/>
        <v>153.34</v>
      </c>
      <c r="D90" vm="1479">
        <f ca="1"/>
        <v>138.29</v>
      </c>
      <c r="E90" vm="1480">
        <f ca="1"/>
        <v>69.069999999999993</v>
      </c>
      <c r="F90" vm="1481">
        <f ca="1"/>
        <v>1428.8</v>
      </c>
      <c r="G90" vm="1482">
        <f ca="1"/>
        <v>74.34</v>
      </c>
      <c r="H90" vm="1483">
        <f ca="1"/>
        <v>110.81</v>
      </c>
      <c r="I90" vm="1484">
        <f ca="1"/>
        <v>77.5</v>
      </c>
      <c r="J90" vm="1485">
        <f ca="1"/>
        <v>1.1000000000000001</v>
      </c>
      <c r="K90" vm="1486">
        <f ca="1"/>
        <v>5.45</v>
      </c>
      <c r="L90" vm="1487">
        <f ca="1"/>
        <v>17.7</v>
      </c>
      <c r="M90" vm="1488">
        <f ca="1"/>
        <v>291.88</v>
      </c>
      <c r="N90" vm="1471">
        <f ca="1"/>
        <v>0.19</v>
      </c>
      <c r="O90" vm="1489">
        <f ca="1"/>
        <v>138.81</v>
      </c>
      <c r="P90" vm="1490">
        <f ca="1"/>
        <v>111</v>
      </c>
      <c r="Q90" vm="1491">
        <f ca="1"/>
        <v>37.340000000000003</v>
      </c>
      <c r="R90" vm="1492">
        <f ca="1"/>
        <v>4.0199999999999996</v>
      </c>
      <c r="S90" vm="1493">
        <f ca="1"/>
        <v>207.16</v>
      </c>
      <c r="T90" vm="1494">
        <f ca="1"/>
        <v>22.04</v>
      </c>
    </row>
    <row r="91" spans="1:20" x14ac:dyDescent="0.2">
      <c r="B91" t="s">
        <v>5</v>
      </c>
      <c r="C91" vm="1495">
        <f ca="1"/>
        <v>148.03</v>
      </c>
      <c r="D91" vm="1496">
        <f ca="1"/>
        <v>148.9</v>
      </c>
      <c r="E91" vm="1497">
        <f ca="1"/>
        <v>69.45</v>
      </c>
      <c r="F91" vm="1498">
        <f ca="1"/>
        <v>1406.8</v>
      </c>
      <c r="G91" vm="1499">
        <f ca="1"/>
        <v>79.67</v>
      </c>
      <c r="H91" vm="1500">
        <f ca="1"/>
        <v>111.34</v>
      </c>
      <c r="I91" vm="1501">
        <f ca="1"/>
        <v>84.7</v>
      </c>
      <c r="J91" vm="1502">
        <f ca="1"/>
        <v>0.97</v>
      </c>
      <c r="K91" vm="1503">
        <f ca="1"/>
        <v>5.28</v>
      </c>
      <c r="L91" vm="1504">
        <f ca="1"/>
        <v>18.440000000000001</v>
      </c>
      <c r="M91" vm="1505">
        <f ca="1"/>
        <v>305.52999999999997</v>
      </c>
      <c r="N91" vm="1506">
        <f ca="1"/>
        <v>0.22</v>
      </c>
      <c r="O91" vm="1507">
        <f ca="1"/>
        <v>147.69</v>
      </c>
      <c r="P91" vm="1508">
        <f ca="1"/>
        <v>109.4</v>
      </c>
      <c r="Q91" vm="1509">
        <f ca="1"/>
        <v>40.04</v>
      </c>
      <c r="R91" vm="1510">
        <f ca="1"/>
        <v>3.97</v>
      </c>
      <c r="S91" vm="1511">
        <f ca="1"/>
        <v>217</v>
      </c>
      <c r="T91" vm="1512">
        <f ca="1"/>
        <v>23.72</v>
      </c>
    </row>
    <row r="92" spans="1:20" x14ac:dyDescent="0.2">
      <c r="A92">
        <v>2023</v>
      </c>
      <c r="B92" t="s">
        <v>6</v>
      </c>
      <c r="C92" vm="1513">
        <f ca="1"/>
        <v>129.93</v>
      </c>
      <c r="D92" vm="1514">
        <f ca="1"/>
        <v>140.88999999999999</v>
      </c>
      <c r="E92" vm="1515">
        <f ca="1"/>
        <v>69.650000000000006</v>
      </c>
      <c r="F92" vm="1516">
        <f ca="1"/>
        <v>1437.6</v>
      </c>
      <c r="G92" vm="1517">
        <f ca="1"/>
        <v>80.319999999999993</v>
      </c>
      <c r="H92" vm="1518">
        <f ca="1"/>
        <v>110.3</v>
      </c>
      <c r="I92" vm="1519">
        <f ca="1"/>
        <v>83.6</v>
      </c>
      <c r="J92" vm="1520">
        <f ca="1"/>
        <v>1.03</v>
      </c>
      <c r="K92" vm="1521">
        <f ca="1"/>
        <v>5.37</v>
      </c>
      <c r="L92" vm="1522">
        <f ca="1"/>
        <v>16.96</v>
      </c>
      <c r="M92" vm="1523">
        <f ca="1"/>
        <v>294.88</v>
      </c>
      <c r="N92" vm="1524">
        <f ca="1"/>
        <v>0.18659999999999999</v>
      </c>
      <c r="O92" vm="1525">
        <f ca="1"/>
        <v>136.58000000000001</v>
      </c>
      <c r="P92" vm="1526">
        <f ca="1"/>
        <v>107</v>
      </c>
      <c r="Q92" vm="1527">
        <f ca="1"/>
        <v>42.145000000000003</v>
      </c>
      <c r="R92" vm="1528">
        <f ca="1"/>
        <v>4.2649999999999997</v>
      </c>
      <c r="S92" vm="1529">
        <f ca="1"/>
        <v>207.76</v>
      </c>
      <c r="T92" vm="1530">
        <f ca="1"/>
        <v>21.89</v>
      </c>
    </row>
    <row r="93" spans="1:20" x14ac:dyDescent="0.2">
      <c r="B93" t="s">
        <v>7</v>
      </c>
      <c r="C93" vm="1531">
        <f ca="1"/>
        <v>144.29</v>
      </c>
      <c r="D93" vm="1532">
        <f ca="1"/>
        <v>134.72999999999999</v>
      </c>
      <c r="E93" vm="1533">
        <f ca="1"/>
        <v>73.02</v>
      </c>
      <c r="F93" vm="1534">
        <f ca="1"/>
        <v>1423.4</v>
      </c>
      <c r="G93" vm="1535">
        <f ca="1"/>
        <v>85.14</v>
      </c>
      <c r="H93" vm="1536">
        <f ca="1"/>
        <v>116.01</v>
      </c>
      <c r="I93" vm="1537">
        <f ca="1"/>
        <v>74.63</v>
      </c>
      <c r="J93" vm="1538">
        <f ca="1"/>
        <v>1.47</v>
      </c>
      <c r="K93" vm="1539">
        <f ca="1"/>
        <v>5</v>
      </c>
      <c r="L93" vm="1540">
        <f ca="1"/>
        <v>21.13</v>
      </c>
      <c r="M93" vm="1541">
        <f ca="1"/>
        <v>353.86</v>
      </c>
      <c r="N93" vm="1542">
        <f ca="1"/>
        <v>0.17799999999999999</v>
      </c>
      <c r="O93" vm="1543">
        <f ca="1"/>
        <v>147.11000000000001</v>
      </c>
      <c r="P93" vm="1544">
        <f ca="1"/>
        <v>126</v>
      </c>
      <c r="Q93" vm="1545">
        <f ca="1"/>
        <v>42.73</v>
      </c>
      <c r="R93" vm="1389">
        <f ca="1"/>
        <v>5.0999999999999996</v>
      </c>
      <c r="S93" vm="1546">
        <f ca="1"/>
        <v>230.21</v>
      </c>
      <c r="T93" vm="1547">
        <f ca="1"/>
        <v>20.83</v>
      </c>
    </row>
    <row r="94" spans="1:20" x14ac:dyDescent="0.2">
      <c r="B94" t="s">
        <v>8</v>
      </c>
      <c r="C94" vm="1548">
        <f ca="1"/>
        <v>147.41</v>
      </c>
      <c r="D94" vm="1549">
        <f ca="1"/>
        <v>129.30000000000001</v>
      </c>
      <c r="E94" vm="1550">
        <f ca="1"/>
        <v>73.680000000000007</v>
      </c>
      <c r="F94" vm="1551">
        <f ca="1"/>
        <v>1425.4</v>
      </c>
      <c r="G94" vm="1552">
        <f ca="1"/>
        <v>76.98</v>
      </c>
      <c r="H94" vm="1553">
        <f ca="1"/>
        <v>109.91</v>
      </c>
      <c r="I94" vm="1554">
        <f ca="1"/>
        <v>71.03</v>
      </c>
      <c r="J94" vm="1555">
        <f ca="1"/>
        <v>1.07</v>
      </c>
      <c r="K94" vm="1556">
        <f ca="1"/>
        <v>5.0999999999999996</v>
      </c>
      <c r="L94" vm="1557">
        <f ca="1"/>
        <v>16.25</v>
      </c>
      <c r="M94" vm="1558">
        <f ca="1"/>
        <v>322.13</v>
      </c>
      <c r="N94" vm="1559">
        <f ca="1"/>
        <v>0.152</v>
      </c>
      <c r="O94" vm="1560">
        <f ca="1"/>
        <v>135.91999999999999</v>
      </c>
      <c r="P94" vm="1561">
        <f ca="1"/>
        <v>140</v>
      </c>
      <c r="Q94" vm="1562">
        <f ca="1"/>
        <v>43.954999999999998</v>
      </c>
      <c r="R94" vm="1563">
        <f ca="1"/>
        <v>5.56</v>
      </c>
      <c r="S94" vm="1564">
        <f ca="1"/>
        <v>219.94</v>
      </c>
      <c r="T94" vm="1565">
        <f ca="1"/>
        <v>20.68</v>
      </c>
    </row>
    <row r="95" spans="1:20" x14ac:dyDescent="0.2">
      <c r="B95" t="s">
        <v>9</v>
      </c>
      <c r="C95" vm="1566">
        <f ca="1"/>
        <v>164.9</v>
      </c>
      <c r="D95" vm="1567">
        <f ca="1"/>
        <v>131.09</v>
      </c>
      <c r="E95" vm="1568">
        <f ca="1"/>
        <v>80.61</v>
      </c>
      <c r="F95" vm="1569">
        <f ca="1"/>
        <v>1429</v>
      </c>
      <c r="G95" vm="144">
        <f ca="1"/>
        <v>72.27</v>
      </c>
      <c r="H95" vm="1570">
        <f ca="1"/>
        <v>109.66</v>
      </c>
      <c r="I95" vm="1571">
        <f ca="1"/>
        <v>77.08</v>
      </c>
      <c r="J95" vm="1572">
        <f ca="1"/>
        <v>1.08</v>
      </c>
      <c r="K95" vm="1556">
        <f ca="1"/>
        <v>5.0999999999999996</v>
      </c>
      <c r="L95" vm="1347">
        <f ca="1"/>
        <v>23.97</v>
      </c>
      <c r="M95" vm="1573">
        <f ca="1"/>
        <v>345.48</v>
      </c>
      <c r="N95" vm="1574">
        <f ca="1"/>
        <v>0.11700000000000001</v>
      </c>
      <c r="O95" vm="1575">
        <f ca="1"/>
        <v>141.69</v>
      </c>
      <c r="P95" vm="1576">
        <f ca="1"/>
        <v>143.19999999999999</v>
      </c>
      <c r="Q95" vm="1577">
        <f ca="1"/>
        <v>49.37</v>
      </c>
      <c r="R95" vm="1578">
        <f ca="1"/>
        <v>5.835</v>
      </c>
      <c r="S95" vm="1579">
        <f ca="1"/>
        <v>225.46</v>
      </c>
      <c r="T95" vm="1580">
        <f ca="1"/>
        <v>21.58</v>
      </c>
    </row>
    <row r="96" spans="1:20" x14ac:dyDescent="0.2">
      <c r="B96" t="s">
        <v>10</v>
      </c>
      <c r="C96" vm="1581">
        <f ca="1"/>
        <v>169.68</v>
      </c>
      <c r="D96" vm="1582">
        <f ca="1"/>
        <v>126.41</v>
      </c>
      <c r="E96" vm="1583">
        <f ca="1"/>
        <v>79.180000000000007</v>
      </c>
      <c r="F96" vm="1584">
        <f ca="1"/>
        <v>1441</v>
      </c>
      <c r="G96" vm="1585">
        <f ca="1"/>
        <v>74.41</v>
      </c>
      <c r="H96" vm="1586">
        <f ca="1"/>
        <v>118.34</v>
      </c>
      <c r="I96" vm="795">
        <f ca="1"/>
        <v>76.63</v>
      </c>
      <c r="J96" vm="1587">
        <f ca="1"/>
        <v>1</v>
      </c>
      <c r="K96" vm="1588">
        <f ca="1"/>
        <v>5.21</v>
      </c>
      <c r="L96" vm="1589">
        <f ca="1"/>
        <v>26.62</v>
      </c>
      <c r="M96" vm="1590">
        <f ca="1"/>
        <v>329.93</v>
      </c>
      <c r="N96" vm="1591">
        <f ca="1"/>
        <v>0.124</v>
      </c>
      <c r="O96" vm="1592">
        <f ca="1"/>
        <v>137.33000000000001</v>
      </c>
      <c r="P96" vm="1593">
        <f ca="1"/>
        <v>138.80000000000001</v>
      </c>
      <c r="Q96" vm="1594">
        <f ca="1"/>
        <v>51.84</v>
      </c>
      <c r="R96" vm="1595">
        <f ca="1"/>
        <v>5.9050000000000002</v>
      </c>
      <c r="S96" vm="1596">
        <f ca="1"/>
        <v>232.73</v>
      </c>
      <c r="T96" vm="1597">
        <f ca="1"/>
        <v>22.75</v>
      </c>
    </row>
    <row r="97" spans="1:20" x14ac:dyDescent="0.2">
      <c r="B97" t="s">
        <v>11</v>
      </c>
      <c r="C97" vm="1598">
        <f ca="1"/>
        <v>177.25</v>
      </c>
      <c r="D97" vm="1599">
        <f ca="1"/>
        <v>128.59</v>
      </c>
      <c r="E97" vm="1600">
        <f ca="1"/>
        <v>77.33</v>
      </c>
      <c r="F97" vm="1601">
        <f ca="1"/>
        <v>1346.4</v>
      </c>
      <c r="G97" vm="1602">
        <f ca="1"/>
        <v>61.55</v>
      </c>
      <c r="H97" vm="1603">
        <f ca="1"/>
        <v>102.18</v>
      </c>
      <c r="I97" vm="1604">
        <f ca="1"/>
        <v>73.459999999999994</v>
      </c>
      <c r="J97" vm="1520">
        <f ca="1"/>
        <v>1.03</v>
      </c>
      <c r="K97" vm="1605">
        <f ca="1"/>
        <v>5.22</v>
      </c>
      <c r="L97" vm="236">
        <f ca="1"/>
        <v>27.34</v>
      </c>
      <c r="M97" vm="1606">
        <f ca="1"/>
        <v>395.23</v>
      </c>
      <c r="N97" vm="1607">
        <f ca="1"/>
        <v>0.13</v>
      </c>
      <c r="O97" vm="1608">
        <f ca="1"/>
        <v>136.13</v>
      </c>
      <c r="P97" vm="1609">
        <f ca="1"/>
        <v>132</v>
      </c>
      <c r="Q97" vm="1610">
        <f ca="1"/>
        <v>46.99</v>
      </c>
      <c r="R97" vm="1611">
        <f ca="1"/>
        <v>5.31</v>
      </c>
      <c r="S97" vm="1612">
        <f ca="1"/>
        <v>221.03</v>
      </c>
      <c r="T97" vm="1613">
        <f ca="1"/>
        <v>22.92</v>
      </c>
    </row>
    <row r="98" spans="1:20" x14ac:dyDescent="0.2">
      <c r="B98" t="s">
        <v>12</v>
      </c>
      <c r="C98" vm="1614">
        <f ca="1"/>
        <v>193.97</v>
      </c>
      <c r="D98" vm="1615">
        <f ca="1"/>
        <v>133.81</v>
      </c>
      <c r="E98" vm="1616">
        <f ca="1"/>
        <v>80.11</v>
      </c>
      <c r="F98" vm="1617">
        <f ca="1"/>
        <v>1388.8</v>
      </c>
      <c r="G98" vm="1618">
        <f ca="1"/>
        <v>62.25</v>
      </c>
      <c r="H98" vm="1619">
        <f ca="1"/>
        <v>107.25</v>
      </c>
      <c r="I98" vm="1620">
        <f ca="1"/>
        <v>74.2</v>
      </c>
      <c r="J98" vm="1621">
        <f ca="1"/>
        <v>0.92</v>
      </c>
      <c r="K98" vm="950">
        <f ca="1"/>
        <v>4.9000000000000004</v>
      </c>
      <c r="L98" vm="1622">
        <f ca="1"/>
        <v>28.68</v>
      </c>
      <c r="M98" vm="1623">
        <f ca="1"/>
        <v>440.49</v>
      </c>
      <c r="N98" vm="1624">
        <f ca="1"/>
        <v>0.13819999999999999</v>
      </c>
      <c r="O98" vm="1625">
        <f ca="1"/>
        <v>160.75</v>
      </c>
      <c r="P98" vm="1626">
        <f ca="1"/>
        <v>128.80000000000001</v>
      </c>
      <c r="Q98" vm="1627">
        <f ca="1"/>
        <v>47.96</v>
      </c>
      <c r="R98" vm="1628">
        <f ca="1"/>
        <v>5.7495000000000003</v>
      </c>
      <c r="S98" vm="1629">
        <f ca="1"/>
        <v>237.48</v>
      </c>
      <c r="T98" vm="1630">
        <f ca="1"/>
        <v>23.08</v>
      </c>
    </row>
    <row r="99" spans="1:20" x14ac:dyDescent="0.2">
      <c r="B99" t="s">
        <v>13</v>
      </c>
      <c r="C99" vm="1631">
        <f ca="1"/>
        <v>196.45</v>
      </c>
      <c r="D99" vm="1632">
        <f ca="1"/>
        <v>144.18</v>
      </c>
      <c r="E99" vm="1633">
        <f ca="1"/>
        <v>77.87</v>
      </c>
      <c r="F99" vm="1634">
        <f ca="1"/>
        <v>1384.6</v>
      </c>
      <c r="G99" vm="1635">
        <f ca="1"/>
        <v>63.72</v>
      </c>
      <c r="H99" vm="1636">
        <f ca="1"/>
        <v>107.24</v>
      </c>
      <c r="I99" vm="1637">
        <f ca="1"/>
        <v>73.3</v>
      </c>
      <c r="J99" vm="1638">
        <f ca="1"/>
        <v>0.98</v>
      </c>
      <c r="K99" vm="1639">
        <f ca="1"/>
        <v>5.5</v>
      </c>
      <c r="L99" vm="1640">
        <f ca="1"/>
        <v>34.96</v>
      </c>
      <c r="M99" vm="1641">
        <f ca="1"/>
        <v>438.97</v>
      </c>
      <c r="N99" vm="1642">
        <f ca="1"/>
        <v>0.13639999999999999</v>
      </c>
      <c r="O99" vm="1643">
        <f ca="1"/>
        <v>168.24</v>
      </c>
      <c r="P99" vm="1644">
        <f ca="1"/>
        <v>147.80000000000001</v>
      </c>
      <c r="Q99" vm="1645">
        <f ca="1"/>
        <v>48.66</v>
      </c>
      <c r="R99" vm="1646">
        <f ca="1"/>
        <v>6.7</v>
      </c>
      <c r="S99" vm="1647">
        <f ca="1"/>
        <v>237.73</v>
      </c>
      <c r="T99" vm="1648">
        <f ca="1"/>
        <v>24.57</v>
      </c>
    </row>
    <row r="100" spans="1:20" x14ac:dyDescent="0.2">
      <c r="B100" t="s">
        <v>14</v>
      </c>
      <c r="C100" vm="1649">
        <f ca="1"/>
        <v>187.87</v>
      </c>
      <c r="D100" vm="1650">
        <f ca="1"/>
        <v>146.83000000000001</v>
      </c>
      <c r="E100" vm="1378">
        <f ca="1"/>
        <v>74.959999999999994</v>
      </c>
      <c r="F100" vm="1617">
        <f ca="1"/>
        <v>1388.8</v>
      </c>
      <c r="G100" vm="1651">
        <f ca="1"/>
        <v>64.53</v>
      </c>
      <c r="H100" vm="1652">
        <f ca="1"/>
        <v>111.19</v>
      </c>
      <c r="I100" vm="1653">
        <f ca="1"/>
        <v>66.8</v>
      </c>
      <c r="J100" vm="1654">
        <f ca="1"/>
        <v>0.89</v>
      </c>
      <c r="K100" vm="1503">
        <f ca="1"/>
        <v>5.28</v>
      </c>
      <c r="L100" vm="1655">
        <f ca="1"/>
        <v>30.35</v>
      </c>
      <c r="M100" vm="1656">
        <f ca="1"/>
        <v>433.68</v>
      </c>
      <c r="N100" vm="1657">
        <f ca="1"/>
        <v>0.1326</v>
      </c>
      <c r="O100" vm="1658">
        <f ca="1"/>
        <v>172.13</v>
      </c>
      <c r="P100" vm="1659">
        <f ca="1"/>
        <v>133.80000000000001</v>
      </c>
      <c r="Q100" vm="1660">
        <f ca="1"/>
        <v>51.77</v>
      </c>
      <c r="R100" vm="1661">
        <f ca="1"/>
        <v>7.2050000000000001</v>
      </c>
      <c r="S100" vm="1662">
        <f ca="1"/>
        <v>245.68</v>
      </c>
      <c r="T100" vm="1663">
        <f ca="1"/>
        <v>23.17</v>
      </c>
    </row>
    <row r="101" spans="1:20" x14ac:dyDescent="0.2">
      <c r="B101" t="s">
        <v>3</v>
      </c>
      <c r="C101" vm="1664">
        <f ca="1"/>
        <v>171.21</v>
      </c>
      <c r="D101" vm="1665">
        <f ca="1"/>
        <v>140.30000000000001</v>
      </c>
      <c r="E101" vm="1666">
        <f ca="1"/>
        <v>73.38</v>
      </c>
      <c r="F101" vm="1667">
        <f ca="1"/>
        <v>1492</v>
      </c>
      <c r="G101" vm="1668">
        <f ca="1"/>
        <v>57.77</v>
      </c>
      <c r="H101" vm="784">
        <f ca="1"/>
        <v>117.58</v>
      </c>
      <c r="I101" vm="1669">
        <f ca="1"/>
        <v>57.29</v>
      </c>
      <c r="J101" vm="815">
        <f ca="1"/>
        <v>0.6</v>
      </c>
      <c r="K101" vm="1670">
        <f ca="1"/>
        <v>4.75</v>
      </c>
      <c r="L101" vm="956">
        <f ca="1"/>
        <v>25.55</v>
      </c>
      <c r="M101" vm="1671">
        <f ca="1"/>
        <v>377.6</v>
      </c>
      <c r="N101" vm="1672">
        <f ca="1"/>
        <v>0.1288</v>
      </c>
      <c r="O101" vm="1673">
        <f ca="1"/>
        <v>179.75</v>
      </c>
      <c r="P101" vm="1674">
        <f ca="1"/>
        <v>145.4</v>
      </c>
      <c r="Q101" vm="1675">
        <f ca="1"/>
        <v>49.45</v>
      </c>
      <c r="R101" vm="420">
        <f ca="1"/>
        <v>7.21</v>
      </c>
      <c r="S101" vm="1676">
        <f ca="1"/>
        <v>230.01</v>
      </c>
      <c r="T101" vm="1677">
        <f ca="1"/>
        <v>23.12</v>
      </c>
    </row>
    <row r="102" spans="1:20" x14ac:dyDescent="0.2">
      <c r="B102" t="s">
        <v>4</v>
      </c>
      <c r="C102" vm="1678">
        <f ca="1"/>
        <v>170.77</v>
      </c>
      <c r="D102" vm="1679">
        <f ca="1"/>
        <v>144.63999999999999</v>
      </c>
      <c r="E102" vm="1680">
        <f ca="1"/>
        <v>72.209999999999994</v>
      </c>
      <c r="F102" vm="1681">
        <f ca="1"/>
        <v>1457.4</v>
      </c>
      <c r="G102" vm="1682">
        <f ca="1"/>
        <v>53.93</v>
      </c>
      <c r="H102" vm="1683">
        <f ca="1"/>
        <v>105.85</v>
      </c>
      <c r="I102" vm="1684">
        <f ca="1"/>
        <v>58.3</v>
      </c>
      <c r="J102" vm="627">
        <f ca="1"/>
        <v>0.435</v>
      </c>
      <c r="K102" vm="1685">
        <f ca="1"/>
        <v>4.88</v>
      </c>
      <c r="L102" vm="1686">
        <f ca="1"/>
        <v>19.100000000000001</v>
      </c>
      <c r="M102" vm="1687">
        <f ca="1"/>
        <v>411.69</v>
      </c>
      <c r="N102" vm="1688">
        <f ca="1"/>
        <v>0.10580000000000001</v>
      </c>
      <c r="O102" vm="1689">
        <f ca="1"/>
        <v>175.18</v>
      </c>
      <c r="P102" vm="1690">
        <f ca="1"/>
        <v>113.4</v>
      </c>
      <c r="Q102" vm="1691">
        <f ca="1"/>
        <v>54.49</v>
      </c>
      <c r="R102" vm="1692">
        <f ca="1"/>
        <v>7.56</v>
      </c>
      <c r="S102" vm="1693">
        <f ca="1"/>
        <v>235.1</v>
      </c>
      <c r="T102" vm="1694">
        <f ca="1"/>
        <v>22.19</v>
      </c>
    </row>
    <row r="103" spans="1:20" x14ac:dyDescent="0.2">
      <c r="B103" t="s">
        <v>5</v>
      </c>
      <c r="C103" vm="1695">
        <f ca="1"/>
        <v>189.95</v>
      </c>
      <c r="D103" vm="1696">
        <f ca="1"/>
        <v>158.56</v>
      </c>
      <c r="E103" vm="1697">
        <f ca="1"/>
        <v>81.040000000000006</v>
      </c>
      <c r="F103" vm="1698">
        <f ca="1"/>
        <v>1419.4</v>
      </c>
      <c r="G103" vm="1699">
        <f ca="1"/>
        <v>54.34</v>
      </c>
      <c r="H103" vm="1700">
        <f ca="1"/>
        <v>102.74</v>
      </c>
      <c r="I103" vm="1701">
        <f ca="1"/>
        <v>58.51</v>
      </c>
      <c r="J103" vm="1702">
        <f ca="1"/>
        <v>0.48499999999999999</v>
      </c>
      <c r="K103" vm="1703">
        <f ca="1"/>
        <v>4.9400000000000004</v>
      </c>
      <c r="L103" vm="1704">
        <f ca="1"/>
        <v>23.94</v>
      </c>
      <c r="M103" vm="1705">
        <f ca="1"/>
        <v>473.97</v>
      </c>
      <c r="N103" vm="1706">
        <f ca="1"/>
        <v>0.11020000000000001</v>
      </c>
      <c r="O103" vm="1707">
        <f ca="1"/>
        <v>189.78</v>
      </c>
      <c r="P103" vm="1708">
        <f ca="1"/>
        <v>110.4</v>
      </c>
      <c r="Q103" vm="1709">
        <f ca="1"/>
        <v>53.57</v>
      </c>
      <c r="R103" vm="1710">
        <f ca="1"/>
        <v>7.6619999999999999</v>
      </c>
      <c r="S103" vm="1711">
        <f ca="1"/>
        <v>256.68</v>
      </c>
      <c r="T103" vm="1712">
        <f ca="1"/>
        <v>22.17</v>
      </c>
    </row>
    <row r="104" spans="1:20" x14ac:dyDescent="0.2">
      <c r="A104">
        <v>2024</v>
      </c>
      <c r="B104" t="s">
        <v>6</v>
      </c>
      <c r="C104" vm="1713">
        <f ca="1"/>
        <v>192.53</v>
      </c>
      <c r="D104" vm="1714">
        <f ca="1"/>
        <v>163.55000000000001</v>
      </c>
      <c r="E104" vm="1715">
        <f ca="1"/>
        <v>84.06</v>
      </c>
      <c r="F104" vm="1716">
        <f ca="1"/>
        <v>1450.2</v>
      </c>
      <c r="G104" vm="1717">
        <f ca="1"/>
        <v>62.79</v>
      </c>
      <c r="H104" vm="1718">
        <f ca="1"/>
        <v>99.98</v>
      </c>
      <c r="I104" vm="1719">
        <f ca="1"/>
        <v>60.74</v>
      </c>
      <c r="J104" vm="331">
        <f ca="1"/>
        <v>0.43</v>
      </c>
      <c r="K104" vm="1242">
        <f ca="1"/>
        <v>5.8</v>
      </c>
      <c r="L104" vm="1720">
        <f ca="1"/>
        <v>31.53</v>
      </c>
      <c r="M104" vm="1721">
        <f ca="1"/>
        <v>486.88</v>
      </c>
      <c r="N104" vm="1722">
        <f ca="1"/>
        <v>9.6100000000000005E-2</v>
      </c>
      <c r="O104" vm="1723">
        <f ca="1"/>
        <v>183.38</v>
      </c>
      <c r="P104" vm="1724">
        <f ca="1"/>
        <v>115.8</v>
      </c>
      <c r="Q104" vm="1725">
        <f ca="1"/>
        <v>57.817999999999998</v>
      </c>
      <c r="R104" vm="1726">
        <f ca="1"/>
        <v>8.1999999999999993</v>
      </c>
      <c r="S104" vm="1727">
        <f ca="1"/>
        <v>260.35000000000002</v>
      </c>
      <c r="T104" vm="1728">
        <f ca="1"/>
        <v>23.84</v>
      </c>
    </row>
    <row r="105" spans="1:20" x14ac:dyDescent="0.2">
      <c r="B105" t="s">
        <v>7</v>
      </c>
      <c r="C105" vm="1729">
        <f ca="1"/>
        <v>184.4</v>
      </c>
      <c r="D105" vm="1730">
        <f ca="1"/>
        <v>183.66</v>
      </c>
      <c r="E105" vm="1731">
        <f ca="1"/>
        <v>87.59</v>
      </c>
      <c r="F105" vm="1732">
        <f ca="1"/>
        <v>1568</v>
      </c>
      <c r="G105" vm="1733">
        <f ca="1"/>
        <v>58.77</v>
      </c>
      <c r="H105" vm="1734">
        <f ca="1"/>
        <v>102.81</v>
      </c>
      <c r="I105" vm="1735">
        <f ca="1"/>
        <v>58.63</v>
      </c>
      <c r="J105" vm="1736">
        <f ca="1"/>
        <v>0.51</v>
      </c>
      <c r="K105" vm="1737">
        <f ca="1"/>
        <v>5.64</v>
      </c>
      <c r="L105" vm="1738">
        <f ca="1"/>
        <v>32.97</v>
      </c>
      <c r="M105" vm="1739">
        <f ca="1"/>
        <v>564.11</v>
      </c>
      <c r="N105" vm="1740">
        <f ca="1"/>
        <v>0.1298</v>
      </c>
      <c r="O105" vm="1741">
        <f ca="1"/>
        <v>199.7</v>
      </c>
      <c r="P105" vm="1742">
        <f ca="1"/>
        <v>97</v>
      </c>
      <c r="Q105" vm="897">
        <f ca="1"/>
        <v>60.54</v>
      </c>
      <c r="R105" vm="1743">
        <f ca="1"/>
        <v>8.7050000000000001</v>
      </c>
      <c r="S105" vm="1744">
        <f ca="1"/>
        <v>273.26</v>
      </c>
      <c r="T105" vm="1745">
        <f ca="1"/>
        <v>24.4</v>
      </c>
    </row>
    <row r="106" spans="1:20" x14ac:dyDescent="0.2">
      <c r="B106" t="s">
        <v>8</v>
      </c>
      <c r="C106" vm="1746">
        <f ca="1"/>
        <v>180.75</v>
      </c>
      <c r="D106" vm="1747">
        <f ca="1"/>
        <v>185.03</v>
      </c>
      <c r="E106" vm="1748">
        <f ca="1"/>
        <v>86.67</v>
      </c>
      <c r="F106" vm="1749">
        <f ca="1"/>
        <v>1664.6</v>
      </c>
      <c r="G106" vm="1750">
        <f ca="1"/>
        <v>58.36</v>
      </c>
      <c r="H106" vm="1751">
        <f ca="1"/>
        <v>104.52</v>
      </c>
      <c r="I106" vm="1752">
        <f ca="1"/>
        <v>55.19</v>
      </c>
      <c r="J106" vm="1753">
        <f ca="1"/>
        <v>0.47</v>
      </c>
      <c r="K106" vm="1754">
        <f ca="1"/>
        <v>5.31</v>
      </c>
      <c r="L106" vm="1755">
        <f ca="1"/>
        <v>38.76</v>
      </c>
      <c r="M106" vm="1756">
        <f ca="1"/>
        <v>602.91999999999996</v>
      </c>
      <c r="N106" vm="1757">
        <f ca="1"/>
        <v>0.14779999999999999</v>
      </c>
      <c r="O106" vm="1758">
        <f ca="1"/>
        <v>240.55</v>
      </c>
      <c r="P106" vm="1759">
        <f ca="1"/>
        <v>95.6</v>
      </c>
      <c r="Q106" vm="1760">
        <f ca="1"/>
        <v>63.84</v>
      </c>
      <c r="R106" vm="1761">
        <f ca="1"/>
        <v>10.62</v>
      </c>
      <c r="S106" vm="1762">
        <f ca="1"/>
        <v>282.64</v>
      </c>
      <c r="T106" vm="1763">
        <f ca="1"/>
        <v>25.61</v>
      </c>
    </row>
    <row r="107" spans="1:20" x14ac:dyDescent="0.2">
      <c r="B107" t="s">
        <v>9</v>
      </c>
      <c r="C107" vm="1764">
        <f ca="1"/>
        <v>171.48</v>
      </c>
      <c r="D107" vm="1765">
        <f ca="1"/>
        <v>190.96</v>
      </c>
      <c r="E107" vm="1766">
        <f ca="1"/>
        <v>91.53</v>
      </c>
      <c r="F107" vm="1767">
        <f ca="1"/>
        <v>1708.6</v>
      </c>
      <c r="G107" vm="1768">
        <f ca="1"/>
        <v>56.97</v>
      </c>
      <c r="H107" vm="1769">
        <f ca="1"/>
        <v>116.24</v>
      </c>
      <c r="I107" vm="1770">
        <f ca="1"/>
        <v>63.91</v>
      </c>
      <c r="J107" vm="331">
        <f ca="1"/>
        <v>0.43</v>
      </c>
      <c r="K107" vm="1771">
        <f ca="1"/>
        <v>5.48</v>
      </c>
      <c r="L107" vm="1772">
        <f ca="1"/>
        <v>33.770000000000003</v>
      </c>
      <c r="M107" vm="1773">
        <f ca="1"/>
        <v>607.33000000000004</v>
      </c>
      <c r="N107" vm="1774">
        <f ca="1"/>
        <v>0.1308</v>
      </c>
      <c r="O107" vm="1775">
        <f ca="1"/>
        <v>251.68</v>
      </c>
      <c r="P107" vm="1776">
        <f ca="1"/>
        <v>90</v>
      </c>
      <c r="Q107" vm="1777">
        <f ca="1"/>
        <v>69.349999999999994</v>
      </c>
      <c r="R107" vm="1778">
        <f ca="1"/>
        <v>12.566000000000001</v>
      </c>
      <c r="S107" vm="1779">
        <f ca="1"/>
        <v>279.08</v>
      </c>
      <c r="T107" vm="1780">
        <f ca="1"/>
        <v>26.41</v>
      </c>
    </row>
    <row r="108" spans="1:20" x14ac:dyDescent="0.2">
      <c r="B108" t="s">
        <v>10</v>
      </c>
      <c r="C108" vm="1781">
        <f ca="1"/>
        <v>170.33</v>
      </c>
      <c r="D108" vm="1782">
        <f ca="1"/>
        <v>166.2</v>
      </c>
      <c r="E108" vm="1783">
        <f ca="1"/>
        <v>92.79</v>
      </c>
      <c r="F108" vm="1784">
        <f ca="1"/>
        <v>1673</v>
      </c>
      <c r="G108" vm="1785">
        <f ca="1"/>
        <v>52.05</v>
      </c>
      <c r="H108" vm="1786">
        <f ca="1"/>
        <v>118.27</v>
      </c>
      <c r="I108" vm="1787">
        <f ca="1"/>
        <v>66.97</v>
      </c>
      <c r="J108" vm="1788">
        <f ca="1"/>
        <v>0.56000000000000005</v>
      </c>
      <c r="K108" vm="1789">
        <f ca="1"/>
        <v>5.46</v>
      </c>
      <c r="L108" vm="1790">
        <f ca="1"/>
        <v>25.57</v>
      </c>
      <c r="M108" vm="1791">
        <f ca="1"/>
        <v>550.64</v>
      </c>
      <c r="N108" vm="1792">
        <f ca="1"/>
        <v>0.1245</v>
      </c>
      <c r="O108" vm="1793">
        <f ca="1"/>
        <v>227.31</v>
      </c>
      <c r="P108" vm="1776">
        <f ca="1"/>
        <v>90</v>
      </c>
      <c r="Q108" vm="1794">
        <f ca="1"/>
        <v>67.37</v>
      </c>
      <c r="R108" vm="1795">
        <f ca="1"/>
        <v>11.6</v>
      </c>
      <c r="S108" vm="1796">
        <f ca="1"/>
        <v>268.61</v>
      </c>
      <c r="T108" vm="1797">
        <f ca="1"/>
        <v>27.53</v>
      </c>
    </row>
    <row r="109" spans="1:20" x14ac:dyDescent="0.2">
      <c r="B109" t="s">
        <v>11</v>
      </c>
      <c r="C109" vm="1798">
        <f ca="1"/>
        <v>192.25</v>
      </c>
      <c r="D109" vm="1799">
        <f ca="1"/>
        <v>166.85</v>
      </c>
      <c r="E109" vm="1800">
        <f ca="1"/>
        <v>92.33</v>
      </c>
      <c r="F109" vm="1801">
        <f ca="1"/>
        <v>1766.5</v>
      </c>
      <c r="G109" vm="1802">
        <f ca="1"/>
        <v>57.79</v>
      </c>
      <c r="H109" vm="1803">
        <f ca="1"/>
        <v>117.26</v>
      </c>
      <c r="I109" vm="1804">
        <f ca="1"/>
        <v>80.02</v>
      </c>
      <c r="J109" vm="1805">
        <f ca="1"/>
        <v>0.56999999999999995</v>
      </c>
      <c r="K109" vm="1806">
        <f ca="1"/>
        <v>5.67</v>
      </c>
      <c r="L109" vm="1352">
        <f ca="1"/>
        <v>38.81</v>
      </c>
      <c r="M109" vm="1807">
        <f ca="1"/>
        <v>641.62</v>
      </c>
      <c r="N109" vm="1808">
        <f ca="1"/>
        <v>0.112</v>
      </c>
      <c r="O109" vm="1809">
        <f ca="1"/>
        <v>217.51</v>
      </c>
      <c r="P109" vm="1810">
        <f ca="1"/>
        <v>84</v>
      </c>
      <c r="Q109" vm="1811">
        <f ca="1"/>
        <v>71.94</v>
      </c>
      <c r="R109" vm="1812">
        <f ca="1"/>
        <v>12.8</v>
      </c>
      <c r="S109" vm="1813">
        <f ca="1"/>
        <v>272.45999999999998</v>
      </c>
      <c r="T109" vm="1814">
        <f ca="1"/>
        <v>26.74</v>
      </c>
    </row>
    <row r="110" spans="1:20" x14ac:dyDescent="0.2">
      <c r="B110" t="s">
        <v>12</v>
      </c>
      <c r="C110" vm="1815">
        <f ca="1"/>
        <v>210.62</v>
      </c>
      <c r="D110" vm="1816">
        <f ca="1"/>
        <v>172.95</v>
      </c>
      <c r="E110" vm="1817">
        <f ca="1"/>
        <v>96.84</v>
      </c>
      <c r="F110" vm="1818">
        <f ca="1"/>
        <v>1529.5</v>
      </c>
      <c r="G110" vm="1819">
        <f ca="1"/>
        <v>60.62</v>
      </c>
      <c r="H110" vm="1820">
        <f ca="1"/>
        <v>115.12</v>
      </c>
      <c r="I110" vm="1821">
        <f ca="1"/>
        <v>70.81</v>
      </c>
      <c r="J110" vm="1822">
        <f ca="1"/>
        <v>0.69</v>
      </c>
      <c r="K110" vm="1823">
        <f ca="1"/>
        <v>5.03</v>
      </c>
      <c r="L110" vm="378">
        <f ca="1"/>
        <v>24.35</v>
      </c>
      <c r="M110" vm="1824">
        <f ca="1"/>
        <v>674.88</v>
      </c>
      <c r="N110" vm="1825">
        <f ca="1"/>
        <v>0.1115</v>
      </c>
      <c r="O110" vm="1826">
        <f ca="1"/>
        <v>204.97</v>
      </c>
      <c r="P110" vm="1827">
        <f ca="1"/>
        <v>76.599999999999994</v>
      </c>
      <c r="Q110" vm="1828">
        <f ca="1"/>
        <v>66.849999999999994</v>
      </c>
      <c r="R110" vm="1829">
        <f ca="1"/>
        <v>11.59</v>
      </c>
      <c r="S110" vm="1830">
        <f ca="1"/>
        <v>262.47000000000003</v>
      </c>
      <c r="T110" vm="1831">
        <f ca="1"/>
        <v>28.81</v>
      </c>
    </row>
    <row r="111" spans="1:20" x14ac:dyDescent="0.2">
      <c r="B111" t="s">
        <v>13</v>
      </c>
      <c r="C111" vm="1832">
        <f ca="1"/>
        <v>222.08</v>
      </c>
      <c r="D111" vm="1833">
        <f ca="1"/>
        <v>192.14</v>
      </c>
      <c r="E111" vm="1834">
        <f ca="1"/>
        <v>101.65</v>
      </c>
      <c r="F111" vm="1835">
        <f ca="1"/>
        <v>1512</v>
      </c>
      <c r="G111" vm="1836">
        <f ca="1"/>
        <v>65.069999999999993</v>
      </c>
      <c r="H111" vm="1837">
        <f ca="1"/>
        <v>118.59</v>
      </c>
      <c r="I111" vm="1838">
        <f ca="1"/>
        <v>76.39</v>
      </c>
      <c r="J111" vm="1839">
        <f ca="1"/>
        <v>0.85</v>
      </c>
      <c r="K111" vm="1086">
        <f ca="1"/>
        <v>5.39</v>
      </c>
      <c r="L111" vm="1840">
        <f ca="1"/>
        <v>23.46</v>
      </c>
      <c r="M111" vm="1841">
        <f ca="1"/>
        <v>628.35</v>
      </c>
      <c r="N111" vm="1842">
        <f ca="1"/>
        <v>0.1065</v>
      </c>
      <c r="O111" vm="1843">
        <f ca="1"/>
        <v>193.55</v>
      </c>
      <c r="P111" vm="1844">
        <f ca="1"/>
        <v>88.3</v>
      </c>
      <c r="Q111" vm="1845">
        <f ca="1"/>
        <v>66.75</v>
      </c>
      <c r="R111" vm="1846">
        <f ca="1"/>
        <v>11.95</v>
      </c>
      <c r="S111" vm="1847">
        <f ca="1"/>
        <v>265.67</v>
      </c>
      <c r="T111" vm="1848">
        <f ca="1"/>
        <v>29.11</v>
      </c>
    </row>
    <row r="112" spans="1:20" x14ac:dyDescent="0.2">
      <c r="B112" t="s">
        <v>14</v>
      </c>
      <c r="C112" vm="1849">
        <f ca="1"/>
        <v>229</v>
      </c>
      <c r="D112" vm="1850">
        <f ca="1"/>
        <v>202.13</v>
      </c>
      <c r="E112" vm="1851">
        <f ca="1"/>
        <v>100.89</v>
      </c>
      <c r="F112" vm="1852">
        <f ca="1"/>
        <v>1657</v>
      </c>
      <c r="G112" vm="1853">
        <f ca="1"/>
        <v>65.66</v>
      </c>
      <c r="H112" vm="1854">
        <f ca="1"/>
        <v>117.94</v>
      </c>
      <c r="I112" vm="1855">
        <f ca="1"/>
        <v>80.510000000000005</v>
      </c>
      <c r="J112" vm="1856">
        <f ca="1"/>
        <v>0.82</v>
      </c>
      <c r="K112" vm="1086">
        <f ca="1"/>
        <v>5.39</v>
      </c>
      <c r="L112" vm="1857">
        <f ca="1"/>
        <v>21.1</v>
      </c>
      <c r="M112" vm="1858">
        <f ca="1"/>
        <v>701.35</v>
      </c>
      <c r="N112" vm="1859">
        <f ca="1"/>
        <v>0.1</v>
      </c>
      <c r="O112" vm="1860">
        <f ca="1"/>
        <v>189.8</v>
      </c>
      <c r="P112" vm="1861">
        <f ca="1"/>
        <v>77.900000000000006</v>
      </c>
      <c r="Q112" vm="1862">
        <f ca="1"/>
        <v>71.52</v>
      </c>
      <c r="R112" vm="1863">
        <f ca="1"/>
        <v>12.5</v>
      </c>
      <c r="S112" vm="1864">
        <f ca="1"/>
        <v>276.37</v>
      </c>
      <c r="T112" vm="1865">
        <f ca="1"/>
        <v>29.31</v>
      </c>
    </row>
    <row r="113" spans="1:20" x14ac:dyDescent="0.2">
      <c r="B113" t="s">
        <v>3</v>
      </c>
      <c r="C113" vm="1866">
        <f ca="1"/>
        <v>233</v>
      </c>
      <c r="D113" vm="1867">
        <f ca="1"/>
        <v>221.08</v>
      </c>
      <c r="E113" vm="1868">
        <f ca="1"/>
        <v>102.96</v>
      </c>
      <c r="F113" vm="1869">
        <f ca="1"/>
        <v>1516.5</v>
      </c>
      <c r="G113" vm="1870">
        <f ca="1"/>
        <v>66.099999999999994</v>
      </c>
      <c r="H113" vm="1871">
        <f ca="1"/>
        <v>117.22</v>
      </c>
      <c r="I113" vm="1872">
        <f ca="1"/>
        <v>84.53</v>
      </c>
      <c r="J113" vm="1873">
        <f ca="1"/>
        <v>0.93</v>
      </c>
      <c r="K113" vm="1605">
        <f ca="1"/>
        <v>5.22</v>
      </c>
      <c r="L113" vm="1874">
        <f ca="1"/>
        <v>23.21</v>
      </c>
      <c r="M113" vm="1875">
        <f ca="1"/>
        <v>709.27</v>
      </c>
      <c r="N113" vm="1876">
        <f ca="1"/>
        <v>0.1075</v>
      </c>
      <c r="O113" vm="1877">
        <f ca="1"/>
        <v>178.57</v>
      </c>
      <c r="P113" vm="1878">
        <f ca="1"/>
        <v>73.5</v>
      </c>
      <c r="Q113" vm="1879">
        <f ca="1"/>
        <v>66.349999999999994</v>
      </c>
      <c r="R113" vm="1880">
        <f ca="1"/>
        <v>11.07</v>
      </c>
      <c r="S113" vm="1881">
        <f ca="1"/>
        <v>274.95</v>
      </c>
      <c r="T113" vm="1882">
        <f ca="1"/>
        <v>29.85</v>
      </c>
    </row>
    <row r="114" spans="1:20" x14ac:dyDescent="0.2">
      <c r="B114" t="s">
        <v>4</v>
      </c>
      <c r="C114" vm="1883">
        <f ca="1"/>
        <v>225.91</v>
      </c>
      <c r="D114" vm="1884">
        <f ca="1"/>
        <v>206.72</v>
      </c>
      <c r="E114" vm="1885">
        <f ca="1"/>
        <v>103.93</v>
      </c>
      <c r="F114" vm="1886">
        <f ca="1"/>
        <v>1392.5</v>
      </c>
      <c r="G114" vm="1887">
        <f ca="1"/>
        <v>74.12</v>
      </c>
      <c r="H114" vm="1888">
        <f ca="1"/>
        <v>116.78</v>
      </c>
      <c r="I114" vm="1889">
        <f ca="1"/>
        <v>79.25</v>
      </c>
      <c r="J114" vm="1890">
        <f ca="1"/>
        <v>0.78</v>
      </c>
      <c r="K114" vm="1891">
        <f ca="1"/>
        <v>5.07</v>
      </c>
      <c r="L114" vm="1892">
        <f ca="1"/>
        <v>17.73</v>
      </c>
      <c r="M114" vm="1893">
        <f ca="1"/>
        <v>756.03</v>
      </c>
      <c r="N114" vm="1894">
        <f ca="1"/>
        <v>0.11</v>
      </c>
      <c r="O114" vm="1895">
        <f ca="1"/>
        <v>173.02</v>
      </c>
      <c r="P114" vm="1896">
        <f ca="1"/>
        <v>59.3</v>
      </c>
      <c r="Q114" vm="1897">
        <f ca="1"/>
        <v>64.45</v>
      </c>
      <c r="R114" vm="1898">
        <f ca="1"/>
        <v>11.94</v>
      </c>
      <c r="S114" vm="1899">
        <f ca="1"/>
        <v>289.85000000000002</v>
      </c>
      <c r="T114" vm="1900">
        <f ca="1"/>
        <v>30.41</v>
      </c>
    </row>
    <row r="115" spans="1:20" x14ac:dyDescent="0.2">
      <c r="B115" t="s">
        <v>5</v>
      </c>
      <c r="C115" vm="1901">
        <f ca="1"/>
        <v>237.33</v>
      </c>
      <c r="D115" vm="1902">
        <f ca="1"/>
        <v>227.41</v>
      </c>
      <c r="E115" vm="1903">
        <f ca="1"/>
        <v>116.87</v>
      </c>
      <c r="F115" vm="1904">
        <f ca="1"/>
        <v>1335</v>
      </c>
      <c r="G115" vm="1905">
        <f ca="1"/>
        <v>74.59</v>
      </c>
      <c r="H115" vm="1906">
        <f ca="1"/>
        <v>117.96</v>
      </c>
      <c r="I115" vm="1907">
        <f ca="1"/>
        <v>78.67</v>
      </c>
      <c r="J115" vm="1908">
        <f ca="1"/>
        <v>0.64</v>
      </c>
      <c r="K115" vm="881">
        <f ca="1"/>
        <v>5.25</v>
      </c>
      <c r="L115" vm="1909">
        <f ca="1"/>
        <v>18.34</v>
      </c>
      <c r="M115" vm="1910">
        <f ca="1"/>
        <v>886.81</v>
      </c>
      <c r="N115" vm="1911">
        <f ca="1"/>
        <v>0.121</v>
      </c>
      <c r="O115" vm="1912">
        <f ca="1"/>
        <v>170.63</v>
      </c>
      <c r="P115" vm="1913">
        <f ca="1"/>
        <v>62</v>
      </c>
      <c r="Q115" vm="1914">
        <f ca="1"/>
        <v>62.44</v>
      </c>
      <c r="R115" vm="1915">
        <f ca="1"/>
        <v>13.45</v>
      </c>
      <c r="S115" vm="1916">
        <f ca="1"/>
        <v>315.08</v>
      </c>
      <c r="T115" vm="1917">
        <f ca="1"/>
        <v>30.55</v>
      </c>
    </row>
    <row r="116" spans="1:20" x14ac:dyDescent="0.2">
      <c r="A116">
        <v>2025</v>
      </c>
      <c r="B116" t="s">
        <v>6</v>
      </c>
      <c r="C116" vm="1918">
        <f ca="1"/>
        <v>250.42</v>
      </c>
      <c r="D116" vm="1919">
        <f ca="1"/>
        <v>219.83</v>
      </c>
      <c r="E116" vm="1920">
        <f ca="1"/>
        <v>113.6</v>
      </c>
      <c r="F116" vm="1921">
        <f ca="1"/>
        <v>1346.5</v>
      </c>
      <c r="G116" vm="1480">
        <f ca="1"/>
        <v>69.069999999999993</v>
      </c>
      <c r="H116" vm="1922">
        <f ca="1"/>
        <v>107.57</v>
      </c>
      <c r="I116" vm="1923">
        <f ca="1"/>
        <v>71.69</v>
      </c>
      <c r="J116" vm="1805">
        <f ca="1"/>
        <v>0.56999999999999995</v>
      </c>
      <c r="K116" vm="1771">
        <f ca="1"/>
        <v>5.48</v>
      </c>
      <c r="L116" vm="1924">
        <f ca="1"/>
        <v>16.97</v>
      </c>
      <c r="M116" vm="1925">
        <f ca="1"/>
        <v>891.32</v>
      </c>
      <c r="N116" vm="1894">
        <f ca="1"/>
        <v>0.11</v>
      </c>
      <c r="O116" vm="1926">
        <f ca="1"/>
        <v>194.61</v>
      </c>
      <c r="P116" vm="1927">
        <f ca="1"/>
        <v>65.8</v>
      </c>
      <c r="Q116" vm="1928">
        <f ca="1"/>
        <v>57.16</v>
      </c>
      <c r="R116" vm="1929">
        <f ca="1"/>
        <v>13.5099</v>
      </c>
      <c r="S116" vm="1930">
        <f ca="1"/>
        <v>316.04000000000002</v>
      </c>
      <c r="T116" vm="1931">
        <f ca="1"/>
        <v>29.86</v>
      </c>
    </row>
    <row r="117" spans="1:20" x14ac:dyDescent="0.2">
      <c r="B117" t="s">
        <v>7</v>
      </c>
      <c r="C117" vm="1932">
        <f ca="1"/>
        <v>236</v>
      </c>
      <c r="D117" vm="1933">
        <f ca="1"/>
        <v>255.7</v>
      </c>
      <c r="E117" vm="1934">
        <f ca="1"/>
        <v>115.83</v>
      </c>
      <c r="F117" vm="1935">
        <f ca="1"/>
        <v>1405</v>
      </c>
      <c r="G117" vm="1936">
        <f ca="1"/>
        <v>74.16</v>
      </c>
      <c r="H117" vm="1937">
        <f ca="1"/>
        <v>106.83</v>
      </c>
      <c r="I117" vm="1938">
        <f ca="1"/>
        <v>71.56</v>
      </c>
      <c r="J117" vm="1788">
        <f ca="1"/>
        <v>0.56000000000000005</v>
      </c>
      <c r="K117" vm="1939">
        <f ca="1"/>
        <v>5.49</v>
      </c>
      <c r="L117" vm="1924">
        <f ca="1"/>
        <v>16.97</v>
      </c>
      <c r="M117" vm="1940">
        <f ca="1"/>
        <v>976.76</v>
      </c>
      <c r="N117" vm="1941">
        <f ca="1"/>
        <v>0.13900000000000001</v>
      </c>
      <c r="O117" vm="1942">
        <f ca="1"/>
        <v>188.93</v>
      </c>
      <c r="P117" vm="1943">
        <f ca="1"/>
        <v>58</v>
      </c>
      <c r="Q117" vm="1944">
        <f ca="1"/>
        <v>60.79</v>
      </c>
      <c r="R117" vm="1945">
        <f ca="1"/>
        <v>15.605</v>
      </c>
      <c r="S117" vm="1946">
        <f ca="1"/>
        <v>341.8</v>
      </c>
      <c r="T117" vm="1947">
        <f ca="1"/>
        <v>28.67</v>
      </c>
    </row>
    <row r="118" spans="1:20" x14ac:dyDescent="0.2">
      <c r="B118" t="s">
        <v>8</v>
      </c>
      <c r="C118" vm="1948">
        <f ca="1"/>
        <v>241.84</v>
      </c>
      <c r="D118" vm="1949">
        <f ca="1"/>
        <v>252.44</v>
      </c>
      <c r="E118" vm="1950">
        <f ca="1"/>
        <v>111.49</v>
      </c>
      <c r="F118" vm="1951">
        <f ca="1"/>
        <v>1466.5</v>
      </c>
      <c r="G118" vm="110">
        <f ca="1"/>
        <v>73.5</v>
      </c>
      <c r="H118" vm="1952">
        <f ca="1"/>
        <v>111.33</v>
      </c>
      <c r="I118" vm="1953">
        <f ca="1"/>
        <v>70.17</v>
      </c>
      <c r="J118" vm="1954">
        <f ca="1"/>
        <v>0.57999999999999996</v>
      </c>
      <c r="K118" vm="1955">
        <f ca="1"/>
        <v>5.35</v>
      </c>
      <c r="L118" vm="1956">
        <f ca="1"/>
        <v>16.79</v>
      </c>
      <c r="M118" vm="1957">
        <f ca="1"/>
        <v>980.56</v>
      </c>
      <c r="N118" vm="1958">
        <f ca="1"/>
        <v>0.13450000000000001</v>
      </c>
      <c r="O118" vm="1959">
        <f ca="1"/>
        <v>181.48</v>
      </c>
      <c r="P118" vm="1960">
        <f ca="1"/>
        <v>55.2</v>
      </c>
      <c r="Q118" vm="1961">
        <f ca="1"/>
        <v>73.14</v>
      </c>
      <c r="R118" vm="1962">
        <f ca="1"/>
        <v>20.73</v>
      </c>
      <c r="S118" vm="1963">
        <f ca="1"/>
        <v>362.71</v>
      </c>
      <c r="T118" vm="1964">
        <f ca="1"/>
        <v>27.88</v>
      </c>
    </row>
    <row r="119" spans="1:20" x14ac:dyDescent="0.2">
      <c r="B119" t="s">
        <v>9</v>
      </c>
      <c r="C119" vm="1965">
        <f ca="1"/>
        <v>222.13</v>
      </c>
      <c r="D119" vm="1966">
        <f ca="1"/>
        <v>248.66</v>
      </c>
      <c r="E119" vm="1967">
        <f ca="1"/>
        <v>100.83</v>
      </c>
      <c r="F119" vm="1968">
        <f ca="1"/>
        <v>1462</v>
      </c>
      <c r="G119" vm="1969">
        <f ca="1"/>
        <v>60.55</v>
      </c>
      <c r="H119" vm="1131">
        <f ca="1"/>
        <v>118.93</v>
      </c>
      <c r="I119" vm="1970">
        <f ca="1"/>
        <v>70.89</v>
      </c>
      <c r="J119" vm="593">
        <f ca="1"/>
        <v>0.5</v>
      </c>
      <c r="K119" vm="1068">
        <f ca="1"/>
        <v>5.55</v>
      </c>
      <c r="L119" vm="1971">
        <f ca="1"/>
        <v>10.59</v>
      </c>
      <c r="M119" vm="1972">
        <f ca="1"/>
        <v>932.53</v>
      </c>
      <c r="N119" vm="1973">
        <f ca="1"/>
        <v>0.126</v>
      </c>
      <c r="O119" vm="1974">
        <f ca="1"/>
        <v>176.53</v>
      </c>
      <c r="P119" vm="1975">
        <f ca="1"/>
        <v>52.9</v>
      </c>
      <c r="Q119" vm="1976">
        <f ca="1"/>
        <v>82.23</v>
      </c>
      <c r="R119" vm="1977">
        <f ca="1"/>
        <v>24.37</v>
      </c>
      <c r="S119" vm="1978">
        <f ca="1"/>
        <v>350.46</v>
      </c>
      <c r="T119" vm="1979">
        <f ca="1"/>
        <v>31.52</v>
      </c>
    </row>
    <row r="120" spans="1:20" x14ac:dyDescent="0.2">
      <c r="B120" t="s">
        <v>10</v>
      </c>
      <c r="C120" vm="1980">
        <f ca="1"/>
        <v>212.5</v>
      </c>
      <c r="D120" vm="1981">
        <f ca="1"/>
        <v>241.82</v>
      </c>
      <c r="E120" vm="1982">
        <f ca="1"/>
        <v>105.39</v>
      </c>
      <c r="F120" vm="1983">
        <f ca="1"/>
        <v>1483.5</v>
      </c>
      <c r="G120" vm="1984">
        <f ca="1"/>
        <v>62.66</v>
      </c>
      <c r="H120" vm="1985">
        <f ca="1"/>
        <v>105.63</v>
      </c>
      <c r="I120" vm="1986">
        <f ca="1"/>
        <v>66.88</v>
      </c>
      <c r="J120" vm="1987">
        <f ca="1"/>
        <v>0.44</v>
      </c>
      <c r="K120" vm="1988">
        <f ca="1"/>
        <v>5.78</v>
      </c>
      <c r="L120" vm="1989">
        <f ca="1"/>
        <v>12.81</v>
      </c>
      <c r="M120" vm="1990">
        <f ca="1"/>
        <v>1131.72</v>
      </c>
      <c r="N120" vm="1574">
        <f ca="1"/>
        <v>0.11700000000000001</v>
      </c>
      <c r="O120" vm="1991">
        <f ca="1"/>
        <v>191.22</v>
      </c>
      <c r="P120" vm="1992">
        <f ca="1"/>
        <v>54</v>
      </c>
      <c r="Q120" vm="1993">
        <f ca="1"/>
        <v>93.23</v>
      </c>
      <c r="R120" vm="1994">
        <f ca="1"/>
        <v>25.68</v>
      </c>
      <c r="S120" vm="1995">
        <f ca="1"/>
        <v>345.5</v>
      </c>
      <c r="T120" vm="1996">
        <f ca="1"/>
        <v>33.56</v>
      </c>
    </row>
    <row r="121" spans="1:20" x14ac:dyDescent="0.2">
      <c r="B121" t="s">
        <v>11</v>
      </c>
      <c r="C121" vm="1997">
        <f ca="1"/>
        <v>200.85</v>
      </c>
      <c r="D121" vm="1998">
        <f ca="1"/>
        <v>259.06</v>
      </c>
      <c r="E121" vm="1999">
        <f ca="1"/>
        <v>115.94</v>
      </c>
      <c r="F121" vm="2000">
        <f ca="1"/>
        <v>1507</v>
      </c>
      <c r="G121" vm="2001">
        <f ca="1"/>
        <v>65.06</v>
      </c>
      <c r="H121" vm="2002">
        <f ca="1"/>
        <v>102.3</v>
      </c>
      <c r="I121" vm="2003">
        <f ca="1"/>
        <v>70.64</v>
      </c>
      <c r="J121" vm="797">
        <f ca="1"/>
        <v>0.55000000000000004</v>
      </c>
      <c r="K121" vm="2004">
        <f ca="1"/>
        <v>7.36</v>
      </c>
      <c r="L121" vm="2005">
        <f ca="1"/>
        <v>12.53</v>
      </c>
      <c r="M121" vm="2006">
        <f ca="1"/>
        <v>1207.23</v>
      </c>
      <c r="N121" vm="2007">
        <f ca="1"/>
        <v>0.155</v>
      </c>
      <c r="O121" vm="2008">
        <f ca="1"/>
        <v>190.57</v>
      </c>
      <c r="P121" vm="2009">
        <f ca="1"/>
        <v>53.2</v>
      </c>
      <c r="Q121" vm="2010">
        <f ca="1"/>
        <v>102.8</v>
      </c>
      <c r="R121" vm="2011">
        <f ca="1"/>
        <v>30.94</v>
      </c>
      <c r="S121" vm="2012">
        <f ca="1"/>
        <v>365.19</v>
      </c>
      <c r="T121" vm="2013">
        <f ca="1"/>
        <v>34.24</v>
      </c>
    </row>
    <row r="122" spans="1:20" x14ac:dyDescent="0.2">
      <c r="B122" t="s">
        <v>12</v>
      </c>
      <c r="C122" vm="2014">
        <f ca="1"/>
        <v>205.17</v>
      </c>
      <c r="D122" vm="2015">
        <f ca="1"/>
        <v>294.77999999999997</v>
      </c>
      <c r="E122" vm="2016">
        <f ca="1"/>
        <v>101.645</v>
      </c>
      <c r="F122" vm="2017">
        <f ca="1"/>
        <v>1390</v>
      </c>
      <c r="G122" vm="2018">
        <f ca="1"/>
        <v>68.099999999999994</v>
      </c>
      <c r="H122" vm="2019">
        <f ca="1"/>
        <v>107.8</v>
      </c>
      <c r="I122" vm="2020">
        <f ca="1"/>
        <v>69.42</v>
      </c>
      <c r="J122" vm="2021">
        <f ca="1"/>
        <v>0.45</v>
      </c>
      <c r="K122" vm="2022">
        <f ca="1"/>
        <v>8.6999999999999993</v>
      </c>
      <c r="L122" vm="2023">
        <f ca="1"/>
        <v>13.01</v>
      </c>
      <c r="M122" vm="2024">
        <f ca="1"/>
        <v>1339.13</v>
      </c>
      <c r="N122" vm="2025">
        <f ca="1"/>
        <v>0.16700000000000001</v>
      </c>
      <c r="O122" vm="2026">
        <f ca="1"/>
        <v>172.26</v>
      </c>
      <c r="P122" vm="2027">
        <f ca="1"/>
        <v>59.15</v>
      </c>
      <c r="Q122" vm="2028">
        <f ca="1"/>
        <v>105.07</v>
      </c>
      <c r="R122" vm="2029">
        <f ca="1"/>
        <v>28.1</v>
      </c>
      <c r="S122" vm="2030">
        <f ca="1"/>
        <v>355.05</v>
      </c>
      <c r="T122" vm="2031">
        <f ca="1"/>
        <v>33.64</v>
      </c>
    </row>
    <row r="123" spans="1:20" x14ac:dyDescent="0.2">
      <c r="B123" t="s">
        <v>13</v>
      </c>
      <c r="C123" vm="2032">
        <f ca="1"/>
        <v>207.57</v>
      </c>
      <c r="D123" vm="2033">
        <f ca="1"/>
        <v>253.15</v>
      </c>
      <c r="E123" vm="2034">
        <f ca="1"/>
        <v>105.76</v>
      </c>
      <c r="F123" vm="2035">
        <f ca="1"/>
        <v>1418</v>
      </c>
      <c r="G123" vm="2036">
        <f ca="1"/>
        <v>74.89</v>
      </c>
      <c r="H123" vm="2037">
        <f ca="1"/>
        <v>111.64</v>
      </c>
      <c r="I123" vm="2038">
        <f ca="1"/>
        <v>71.06</v>
      </c>
      <c r="J123" vm="2039">
        <f ca="1"/>
        <v>0.39500000000000002</v>
      </c>
      <c r="K123" vm="2040">
        <f ca="1"/>
        <v>7.4</v>
      </c>
      <c r="L123" vm="824">
        <f ca="1"/>
        <v>12.21</v>
      </c>
      <c r="M123" vm="2041">
        <f ca="1"/>
        <v>1159.4000000000001</v>
      </c>
      <c r="N123" vm="2042">
        <f ca="1"/>
        <v>0.14199999999999999</v>
      </c>
      <c r="O123" vm="2043">
        <f ca="1"/>
        <v>178.97</v>
      </c>
      <c r="P123" vm="2044">
        <f ca="1"/>
        <v>58.3</v>
      </c>
      <c r="Q123" vm="2045">
        <f ca="1"/>
        <v>95.614999999999995</v>
      </c>
      <c r="R123" vm="1365">
        <f ca="1"/>
        <v>26.96</v>
      </c>
      <c r="S123" vm="2046">
        <f ca="1"/>
        <v>345.47</v>
      </c>
      <c r="T123" vm="2047">
        <f ca="1"/>
        <v>33.700000000000003</v>
      </c>
    </row>
    <row r="124" spans="1:20" x14ac:dyDescent="0.2">
      <c r="B124" t="s">
        <v>14</v>
      </c>
      <c r="C124" vm="2048">
        <f ca="1"/>
        <v>232.14</v>
      </c>
      <c r="D124" vm="2049">
        <f ca="1"/>
        <v>243.49</v>
      </c>
      <c r="E124" vm="2050">
        <f ca="1"/>
        <v>99.95</v>
      </c>
      <c r="F124" vm="2051">
        <f ca="1"/>
        <v>1452.5</v>
      </c>
      <c r="G124" vm="2052">
        <f ca="1"/>
        <v>84.61</v>
      </c>
      <c r="H124" vm="2053">
        <f ca="1"/>
        <v>114.29</v>
      </c>
      <c r="I124" vm="2054">
        <f ca="1"/>
        <v>72.05</v>
      </c>
      <c r="J124" vm="2055">
        <f ca="1"/>
        <v>0.30499999999999999</v>
      </c>
      <c r="K124" vm="2056">
        <f ca="1"/>
        <v>7.81</v>
      </c>
      <c r="L124" vm="2057">
        <f ca="1"/>
        <v>17.010000000000002</v>
      </c>
      <c r="M124" vm="2058">
        <f ca="1"/>
        <v>1208.25</v>
      </c>
      <c r="N124" vm="2059">
        <f ca="1"/>
        <v>0.14849999999999999</v>
      </c>
      <c r="O124" vm="2060">
        <f ca="1"/>
        <v>194.57</v>
      </c>
      <c r="P124" vm="2061">
        <f ca="1"/>
        <v>51.3</v>
      </c>
      <c r="Q124" vm="2062">
        <f ca="1"/>
        <v>94.24</v>
      </c>
      <c r="R124" vm="2063">
        <f ca="1"/>
        <v>28.26</v>
      </c>
      <c r="S124" vm="2064">
        <f ca="1"/>
        <v>351.78</v>
      </c>
      <c r="T124" vm="2065">
        <f ca="1"/>
        <v>31.74</v>
      </c>
    </row>
  </sheetData>
  <mergeCells count="8">
    <mergeCell ref="S2:T2"/>
    <mergeCell ref="Q2:R2"/>
    <mergeCell ref="C1:Q1"/>
    <mergeCell ref="C2:E2"/>
    <mergeCell ref="F2:G2"/>
    <mergeCell ref="H2:J2"/>
    <mergeCell ref="L2:N2"/>
    <mergeCell ref="O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Michella O'brian</dc:creator>
  <cp:lastModifiedBy>Michella O'brian</cp:lastModifiedBy>
  <dcterms:created xsi:type="dcterms:W3CDTF">2025-11-05T10:31:01Z</dcterms:created>
  <dcterms:modified xsi:type="dcterms:W3CDTF">2025-11-09T15:00:28Z</dcterms:modified>
</cp:coreProperties>
</file>